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co_usuario\javier\utad\INGENIERIA_SW\Redes neuronales multicapa\26-27\RedesNeuronales\excel\"/>
    </mc:Choice>
  </mc:AlternateContent>
  <xr:revisionPtr revIDLastSave="0" documentId="13_ncr:1_{5C77B1BA-C091-470F-9032-9D0FEAACB742}" xr6:coauthVersionLast="47" xr6:coauthVersionMax="47" xr10:uidLastSave="{00000000-0000-0000-0000-000000000000}"/>
  <bookViews>
    <workbookView xWindow="22932" yWindow="-108" windowWidth="23256" windowHeight="12456" activeTab="1" xr2:uid="{532386F0-35CB-40A5-AF08-763F5C41A639}"/>
  </bookViews>
  <sheets>
    <sheet name="lineal" sheetId="6" r:id="rId1"/>
    <sheet name="sigmoi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6" l="1"/>
  <c r="G3" i="6"/>
  <c r="G4" i="6" s="1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J3" i="6"/>
  <c r="J4" i="6" s="1"/>
  <c r="J5" i="6" s="1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B3" i="6"/>
  <c r="B4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D2" i="6"/>
  <c r="H2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I3" i="2"/>
  <c r="I2" i="2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C3" i="2"/>
  <c r="G12" i="2"/>
  <c r="G13" i="2" s="1"/>
  <c r="G14" i="2" s="1"/>
  <c r="G15" i="2" s="1"/>
  <c r="G16" i="2" s="1"/>
  <c r="B12" i="2"/>
  <c r="G11" i="2"/>
  <c r="B11" i="2"/>
  <c r="A11" i="2"/>
  <c r="A12" i="2" s="1"/>
  <c r="A13" i="2" s="1"/>
  <c r="A14" i="2" s="1"/>
  <c r="A15" i="2" s="1"/>
  <c r="A16" i="2" s="1"/>
  <c r="F2" i="2"/>
  <c r="E2" i="2"/>
  <c r="G3" i="2"/>
  <c r="G4" i="2" s="1"/>
  <c r="G5" i="2" s="1"/>
  <c r="G6" i="2" s="1"/>
  <c r="G7" i="2" s="1"/>
  <c r="G8" i="2" s="1"/>
  <c r="G9" i="2" s="1"/>
  <c r="G10" i="2" s="1"/>
  <c r="B3" i="2"/>
  <c r="B4" i="2" s="1"/>
  <c r="A3" i="2"/>
  <c r="A4" i="2" s="1"/>
  <c r="A5" i="2" s="1"/>
  <c r="A6" i="2" s="1"/>
  <c r="A7" i="2" s="1"/>
  <c r="A8" i="2" s="1"/>
  <c r="A9" i="2" s="1"/>
  <c r="A10" i="2" s="1"/>
  <c r="D2" i="2"/>
  <c r="B5" i="6" l="1"/>
  <c r="I2" i="6"/>
  <c r="C3" i="6" s="1"/>
  <c r="H2" i="6"/>
  <c r="B13" i="2"/>
  <c r="B5" i="2"/>
  <c r="D3" i="2"/>
  <c r="E3" i="2" s="1"/>
  <c r="B6" i="6" l="1"/>
  <c r="D3" i="6"/>
  <c r="E3" i="6" s="1"/>
  <c r="F3" i="2"/>
  <c r="C4" i="2" s="1"/>
  <c r="B14" i="2"/>
  <c r="B6" i="2"/>
  <c r="B7" i="6" l="1"/>
  <c r="I3" i="6"/>
  <c r="C4" i="6" s="1"/>
  <c r="D4" i="6" s="1"/>
  <c r="E4" i="6" s="1"/>
  <c r="H3" i="6"/>
  <c r="B15" i="2"/>
  <c r="B7" i="2"/>
  <c r="D4" i="2"/>
  <c r="E4" i="2" s="1"/>
  <c r="B8" i="6" l="1"/>
  <c r="I4" i="6"/>
  <c r="C5" i="6" s="1"/>
  <c r="H4" i="6"/>
  <c r="I4" i="2"/>
  <c r="B16" i="2"/>
  <c r="F4" i="2"/>
  <c r="B8" i="2"/>
  <c r="B9" i="6" l="1"/>
  <c r="D5" i="6"/>
  <c r="E5" i="6" s="1"/>
  <c r="C5" i="2"/>
  <c r="B9" i="2"/>
  <c r="D5" i="2"/>
  <c r="E5" i="2" s="1"/>
  <c r="B10" i="6" l="1"/>
  <c r="H5" i="6"/>
  <c r="I5" i="6"/>
  <c r="C6" i="6" s="1"/>
  <c r="F5" i="2"/>
  <c r="B10" i="2"/>
  <c r="B11" i="6" l="1"/>
  <c r="D6" i="6"/>
  <c r="E6" i="6" s="1"/>
  <c r="C6" i="2"/>
  <c r="D6" i="2" s="1"/>
  <c r="E6" i="2" s="1"/>
  <c r="I5" i="2"/>
  <c r="B12" i="6" l="1"/>
  <c r="H6" i="6"/>
  <c r="I6" i="6"/>
  <c r="C7" i="6" s="1"/>
  <c r="I6" i="2"/>
  <c r="F6" i="2"/>
  <c r="B13" i="6" l="1"/>
  <c r="D7" i="6"/>
  <c r="E7" i="6" s="1"/>
  <c r="C7" i="2"/>
  <c r="D7" i="2"/>
  <c r="E7" i="2" s="1"/>
  <c r="B14" i="6" l="1"/>
  <c r="H7" i="6"/>
  <c r="I7" i="6"/>
  <c r="C8" i="6" s="1"/>
  <c r="I7" i="2"/>
  <c r="F7" i="2"/>
  <c r="B15" i="6" l="1"/>
  <c r="D8" i="6"/>
  <c r="E8" i="6" s="1"/>
  <c r="C8" i="2"/>
  <c r="D8" i="2"/>
  <c r="E8" i="2" s="1"/>
  <c r="B16" i="6" l="1"/>
  <c r="H8" i="6"/>
  <c r="I8" i="6"/>
  <c r="C9" i="6" s="1"/>
  <c r="F8" i="2"/>
  <c r="D9" i="6" l="1"/>
  <c r="E9" i="6" s="1"/>
  <c r="I8" i="2"/>
  <c r="C9" i="2" s="1"/>
  <c r="D9" i="2" s="1"/>
  <c r="E9" i="2" s="1"/>
  <c r="H9" i="6" l="1"/>
  <c r="I9" i="6"/>
  <c r="C10" i="6" s="1"/>
  <c r="F9" i="2"/>
  <c r="D10" i="6" l="1"/>
  <c r="E10" i="6" s="1"/>
  <c r="I9" i="2"/>
  <c r="C10" i="2" s="1"/>
  <c r="D10" i="2" s="1"/>
  <c r="E10" i="2" s="1"/>
  <c r="I10" i="6" l="1"/>
  <c r="C11" i="6" s="1"/>
  <c r="H10" i="6"/>
  <c r="F10" i="2"/>
  <c r="D11" i="6" l="1"/>
  <c r="E11" i="6" s="1"/>
  <c r="I10" i="2"/>
  <c r="C11" i="2" s="1"/>
  <c r="D11" i="2" s="1"/>
  <c r="E11" i="2" s="1"/>
  <c r="H11" i="6" l="1"/>
  <c r="I11" i="6"/>
  <c r="C12" i="6" s="1"/>
  <c r="F11" i="2"/>
  <c r="D12" i="6" l="1"/>
  <c r="E12" i="6" s="1"/>
  <c r="I11" i="2"/>
  <c r="C12" i="2" s="1"/>
  <c r="D12" i="2" s="1"/>
  <c r="E12" i="2" s="1"/>
  <c r="I12" i="6" l="1"/>
  <c r="C13" i="6" s="1"/>
  <c r="H12" i="6"/>
  <c r="F12" i="2"/>
  <c r="D13" i="6" l="1"/>
  <c r="E13" i="6" s="1"/>
  <c r="I12" i="2"/>
  <c r="C13" i="2" s="1"/>
  <c r="D13" i="2" s="1"/>
  <c r="E13" i="2" s="1"/>
  <c r="I13" i="6" l="1"/>
  <c r="C14" i="6" s="1"/>
  <c r="H13" i="6"/>
  <c r="F13" i="2"/>
  <c r="D14" i="6" l="1"/>
  <c r="E14" i="6" s="1"/>
  <c r="I13" i="2"/>
  <c r="C14" i="2" s="1"/>
  <c r="D14" i="2" s="1"/>
  <c r="E14" i="2" s="1"/>
  <c r="H14" i="6" l="1"/>
  <c r="I14" i="6"/>
  <c r="C15" i="6" s="1"/>
  <c r="F14" i="2"/>
  <c r="D15" i="6" l="1"/>
  <c r="E15" i="6" s="1"/>
  <c r="I14" i="2"/>
  <c r="C15" i="2" s="1"/>
  <c r="D15" i="2" s="1"/>
  <c r="E15" i="2" s="1"/>
  <c r="H15" i="6" l="1"/>
  <c r="I15" i="6"/>
  <c r="C16" i="6" s="1"/>
  <c r="D16" i="6" s="1"/>
  <c r="E16" i="6" s="1"/>
  <c r="F15" i="2"/>
  <c r="I16" i="6" l="1"/>
  <c r="H16" i="6"/>
  <c r="I15" i="2"/>
  <c r="C16" i="2" s="1"/>
  <c r="D16" i="2" s="1"/>
  <c r="E16" i="2" s="1"/>
  <c r="F16" i="2" l="1"/>
  <c r="I16" i="2" s="1"/>
</calcChain>
</file>

<file path=xl/sharedStrings.xml><?xml version="1.0" encoding="utf-8"?>
<sst xmlns="http://schemas.openxmlformats.org/spreadsheetml/2006/main" count="21" uniqueCount="13">
  <si>
    <t>t</t>
  </si>
  <si>
    <t>x</t>
  </si>
  <si>
    <t>w</t>
  </si>
  <si>
    <t>y</t>
  </si>
  <si>
    <t>ɳ</t>
  </si>
  <si>
    <t>f(z)</t>
  </si>
  <si>
    <t>f'(z)</t>
  </si>
  <si>
    <t>L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</si>
  <si>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Lucida Calligraphy"/>
        <family val="4"/>
      </rPr>
      <t>L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Times New Roman"/>
        <family val="1"/>
      </rPr>
      <t>w</t>
    </r>
  </si>
  <si>
    <t>ŷ</t>
  </si>
  <si>
    <t>a</t>
  </si>
  <si>
    <t>f(a)</t>
  </si>
  <si>
    <t>f'(a)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</si>
</sst>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Symbol"/>
      <family val="1"/>
      <charset val="2"/>
    </font>
    <font>
      <b/>
      <sz val="11"/>
      <color theme="1"/>
      <name val="Times New Roman"/>
      <family val="1"/>
      <charset val="2"/>
    </font>
    <font>
      <b/>
      <sz val="11"/>
      <color theme="1"/>
      <name val="Lucida Calligraphy"/>
      <family val="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0" borderId="1" xfId="0" applyNumberFormat="1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Lucida Calligraphy" panose="03010101010101010101" pitchFamily="66" charset="0"/>
              </a:rPr>
              <a:t>L </a:t>
            </a:r>
            <a:r>
              <a:rPr lang="en-US">
                <a:latin typeface="+mn-lt"/>
              </a:rPr>
              <a:t>(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ɳ</a:t>
            </a:r>
            <a:r>
              <a:rPr lang="en-US">
                <a:latin typeface="+mn-lt"/>
              </a:rPr>
              <a:t>=0.2)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lineal!$H$1</c:f>
              <c:strCache>
                <c:ptCount val="1"/>
                <c:pt idx="0">
                  <c:v>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lineal!$H$2:$H$16</c:f>
              <c:numCache>
                <c:formatCode>0.000</c:formatCode>
                <c:ptCount val="15"/>
                <c:pt idx="0">
                  <c:v>1.4449999999999998</c:v>
                </c:pt>
                <c:pt idx="1">
                  <c:v>0.92479999999999984</c:v>
                </c:pt>
                <c:pt idx="2">
                  <c:v>0.59187200000000006</c:v>
                </c:pt>
                <c:pt idx="3">
                  <c:v>0.37879807999999998</c:v>
                </c:pt>
                <c:pt idx="4">
                  <c:v>0.24243077119999995</c:v>
                </c:pt>
                <c:pt idx="5">
                  <c:v>0.15515569356799999</c:v>
                </c:pt>
                <c:pt idx="6">
                  <c:v>9.9299643883519972E-2</c:v>
                </c:pt>
                <c:pt idx="7">
                  <c:v>6.3551772085452776E-2</c:v>
                </c:pt>
                <c:pt idx="8">
                  <c:v>4.0673134134689759E-2</c:v>
                </c:pt>
                <c:pt idx="9">
                  <c:v>2.6030805846201453E-2</c:v>
                </c:pt>
                <c:pt idx="10">
                  <c:v>1.6659715741568926E-2</c:v>
                </c:pt>
                <c:pt idx="11">
                  <c:v>1.0662218074604112E-2</c:v>
                </c:pt>
                <c:pt idx="12">
                  <c:v>6.8238195677466345E-3</c:v>
                </c:pt>
                <c:pt idx="13">
                  <c:v>4.3672445233578416E-3</c:v>
                </c:pt>
                <c:pt idx="14">
                  <c:v>2.7950364949490152E-3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99-4890-AA53-78710731E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977055"/>
        <c:axId val="732979935"/>
      </c:lineChart>
      <c:catAx>
        <c:axId val="732977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979935"/>
        <c:crosses val="autoZero"/>
        <c:auto val="1"/>
        <c:lblAlgn val="ctr"/>
        <c:lblOffset val="100"/>
        <c:noMultiLvlLbl val="0"/>
      </c:catAx>
      <c:valAx>
        <c:axId val="73297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97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Lucida Calligraphy" panose="03010101010101010101" pitchFamily="66" charset="0"/>
              </a:rPr>
              <a:t>L</a:t>
            </a:r>
            <a:r>
              <a:rPr lang="en-US"/>
              <a:t>   (ɳ =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sigmoide!$H$2:$H$16</c:f>
              <c:numCache>
                <c:formatCode>0.000</c:formatCode>
                <c:ptCount val="15"/>
                <c:pt idx="0">
                  <c:v>0.22323744943752857</c:v>
                </c:pt>
                <c:pt idx="1">
                  <c:v>0.17974706967313539</c:v>
                </c:pt>
                <c:pt idx="2">
                  <c:v>0.13987825826963227</c:v>
                </c:pt>
                <c:pt idx="3">
                  <c:v>0.10724270602212967</c:v>
                </c:pt>
                <c:pt idx="4">
                  <c:v>8.2658827623252842E-2</c:v>
                </c:pt>
                <c:pt idx="5">
                  <c:v>6.4890773880108665E-2</c:v>
                </c:pt>
                <c:pt idx="6">
                  <c:v>5.2142869128149825E-2</c:v>
                </c:pt>
                <c:pt idx="7">
                  <c:v>4.2882997157291707E-2</c:v>
                </c:pt>
                <c:pt idx="8">
                  <c:v>3.6014852219361834E-2</c:v>
                </c:pt>
                <c:pt idx="9">
                  <c:v>3.0801605615282546E-2</c:v>
                </c:pt>
                <c:pt idx="10">
                  <c:v>2.6754897333861081E-2</c:v>
                </c:pt>
                <c:pt idx="11">
                  <c:v>2.354853237128671E-2</c:v>
                </c:pt>
                <c:pt idx="12">
                  <c:v>2.0960900172500855E-2</c:v>
                </c:pt>
                <c:pt idx="13">
                  <c:v>1.8838351021685518E-2</c:v>
                </c:pt>
                <c:pt idx="14">
                  <c:v>1.7072106117232692E-2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D2-45D0-B7EE-024E619A8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997176"/>
        <c:axId val="559998160"/>
      </c:lineChart>
      <c:catAx>
        <c:axId val="559997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9998160"/>
        <c:crosses val="autoZero"/>
        <c:auto val="1"/>
        <c:lblAlgn val="ctr"/>
        <c:lblOffset val="100"/>
        <c:noMultiLvlLbl val="0"/>
      </c:catAx>
      <c:valAx>
        <c:axId val="5599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9997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314960</xdr:colOff>
      <xdr:row>0</xdr:row>
      <xdr:rowOff>100330</xdr:rowOff>
    </xdr:from>
    <xdr:to>
      <xdr:col>15</xdr:col>
      <xdr:colOff>45720</xdr:colOff>
      <xdr:row>15</xdr:row>
      <xdr:rowOff>142240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C3AA75-45E2-6238-E57B-C6067DE83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354330</xdr:colOff>
      <xdr:row>0</xdr:row>
      <xdr:rowOff>77470</xdr:rowOff>
    </xdr:from>
    <xdr:to>
      <xdr:col>14</xdr:col>
      <xdr:colOff>734060</xdr:colOff>
      <xdr:row>16</xdr:row>
      <xdr:rowOff>111760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537B8C-DE2A-41F9-8491-B82482FC4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00E7-57D5-4088-A78B-D7A70FA5CAB8}">
  <dimension ref="A1:M18"/>
  <sheetViews>
    <sheetView workbookViewId="0">
      <selection activeCell="H2" sqref="H2"/>
    </sheetView>
  </sheetViews>
  <sheetFormatPr baseColWidth="10" defaultRowHeight="14.5"/>
  <cols>
    <col min="1" max="1" width="5.90625" customWidth="1"/>
    <col min="2" max="2" width="7.54296875" customWidth="1"/>
    <col min="3" max="3" width="6.36328125" customWidth="1"/>
    <col min="4" max="4" width="7.54296875" customWidth="1"/>
    <col min="5" max="5" width="7.7265625" hidden="1" customWidth="1"/>
    <col min="6" max="6" width="8.36328125" hidden="1" customWidth="1"/>
    <col min="7" max="7" width="6.6328125" customWidth="1"/>
    <col min="8" max="8" width="6.1796875" customWidth="1"/>
    <col min="9" max="9" width="9.7265625" customWidth="1"/>
    <col min="10" max="10" width="7.453125" customWidth="1"/>
  </cols>
  <sheetData>
    <row r="1" spans="1:10" ht="15">
      <c r="A1" s="4" t="s">
        <v>0</v>
      </c>
      <c r="B1" s="5" t="s">
        <v>1</v>
      </c>
      <c r="C1" s="5" t="s">
        <v>2</v>
      </c>
      <c r="D1" s="10" t="s">
        <v>9</v>
      </c>
      <c r="E1" s="5" t="s">
        <v>5</v>
      </c>
      <c r="F1" s="5" t="s">
        <v>6</v>
      </c>
      <c r="G1" s="5" t="s">
        <v>3</v>
      </c>
      <c r="H1" s="8" t="s">
        <v>7</v>
      </c>
      <c r="I1" s="6" t="s">
        <v>8</v>
      </c>
      <c r="J1" s="7" t="s">
        <v>4</v>
      </c>
    </row>
    <row r="2" spans="1:10">
      <c r="A2" s="1">
        <v>0</v>
      </c>
      <c r="B2" s="2">
        <v>-1</v>
      </c>
      <c r="C2" s="2">
        <v>0.7</v>
      </c>
      <c r="D2" s="2">
        <f>C2*B2</f>
        <v>-0.7</v>
      </c>
      <c r="E2" s="2">
        <f>D2</f>
        <v>-0.7</v>
      </c>
      <c r="F2" s="2">
        <v>1</v>
      </c>
      <c r="G2" s="2">
        <v>1</v>
      </c>
      <c r="H2" s="2">
        <f>0.5*(G2-E2)^2</f>
        <v>1.4449999999999998</v>
      </c>
      <c r="I2" s="2">
        <f>B2*(E2-G2)*F2</f>
        <v>1.7</v>
      </c>
      <c r="J2" s="3">
        <v>0.2</v>
      </c>
    </row>
    <row r="3" spans="1:10">
      <c r="A3" s="1">
        <f>A2+1</f>
        <v>1</v>
      </c>
      <c r="B3" s="2">
        <f>B2</f>
        <v>-1</v>
      </c>
      <c r="C3" s="2">
        <f>C2-J2*I2</f>
        <v>0.35999999999999993</v>
      </c>
      <c r="D3" s="2">
        <f>C3*B3</f>
        <v>-0.35999999999999993</v>
      </c>
      <c r="E3" s="2">
        <f t="shared" ref="E3:E16" si="0">D3</f>
        <v>-0.35999999999999993</v>
      </c>
      <c r="F3" s="2">
        <v>1</v>
      </c>
      <c r="G3" s="2">
        <f>G2</f>
        <v>1</v>
      </c>
      <c r="H3" s="2">
        <f>0.5*(E3-G3)^2</f>
        <v>0.92479999999999984</v>
      </c>
      <c r="I3" s="2">
        <f>B3*(E3-G3)*F3</f>
        <v>1.3599999999999999</v>
      </c>
      <c r="J3" s="3">
        <f>J2</f>
        <v>0.2</v>
      </c>
    </row>
    <row r="4" spans="1:10">
      <c r="A4" s="1">
        <f t="shared" ref="A4:A16" si="1">A3+1</f>
        <v>2</v>
      </c>
      <c r="B4" s="2">
        <f t="shared" ref="B4:B16" si="2">B3</f>
        <v>-1</v>
      </c>
      <c r="C4" s="2">
        <f>C3-J3*I3</f>
        <v>8.7999999999999967E-2</v>
      </c>
      <c r="D4" s="2">
        <f t="shared" ref="D4:D16" si="3">C4*B4</f>
        <v>-8.7999999999999967E-2</v>
      </c>
      <c r="E4" s="2">
        <f t="shared" si="0"/>
        <v>-8.7999999999999967E-2</v>
      </c>
      <c r="F4" s="2">
        <v>1</v>
      </c>
      <c r="G4" s="2">
        <f t="shared" ref="G4:G16" si="4">G3</f>
        <v>1</v>
      </c>
      <c r="H4" s="2">
        <f>0.5*(E4-G4)^2</f>
        <v>0.59187200000000006</v>
      </c>
      <c r="I4" s="2">
        <f>B4*(E4-G4)*F4</f>
        <v>1.0880000000000001</v>
      </c>
      <c r="J4" s="3">
        <f t="shared" ref="J4:J16" si="5">J3</f>
        <v>0.2</v>
      </c>
    </row>
    <row r="5" spans="1:10">
      <c r="A5" s="1">
        <f t="shared" si="1"/>
        <v>3</v>
      </c>
      <c r="B5" s="2">
        <f t="shared" si="2"/>
        <v>-1</v>
      </c>
      <c r="C5" s="2">
        <f>C4-J4*I4</f>
        <v>-0.12960000000000005</v>
      </c>
      <c r="D5" s="2">
        <f t="shared" si="3"/>
        <v>0.12960000000000005</v>
      </c>
      <c r="E5" s="2">
        <f t="shared" si="0"/>
        <v>0.12960000000000005</v>
      </c>
      <c r="F5" s="2">
        <v>1</v>
      </c>
      <c r="G5" s="2">
        <f t="shared" si="4"/>
        <v>1</v>
      </c>
      <c r="H5" s="2">
        <f>0.5*(E5-G5)^2</f>
        <v>0.37879807999999998</v>
      </c>
      <c r="I5" s="2">
        <f>B5*(E5-G5)*F5</f>
        <v>0.87039999999999995</v>
      </c>
      <c r="J5" s="3">
        <f t="shared" si="5"/>
        <v>0.2</v>
      </c>
    </row>
    <row r="6" spans="1:10">
      <c r="A6" s="1">
        <f t="shared" si="1"/>
        <v>4</v>
      </c>
      <c r="B6" s="2">
        <f t="shared" si="2"/>
        <v>-1</v>
      </c>
      <c r="C6" s="2">
        <f>C5-J5*I5</f>
        <v>-0.30368000000000006</v>
      </c>
      <c r="D6" s="2">
        <f t="shared" si="3"/>
        <v>0.30368000000000006</v>
      </c>
      <c r="E6" s="2">
        <f t="shared" si="0"/>
        <v>0.30368000000000006</v>
      </c>
      <c r="F6" s="2">
        <v>1</v>
      </c>
      <c r="G6" s="2">
        <f t="shared" si="4"/>
        <v>1</v>
      </c>
      <c r="H6" s="2">
        <f>0.5*(E6-G6)^2</f>
        <v>0.24243077119999995</v>
      </c>
      <c r="I6" s="2">
        <f>B6*(E6-G6)*F6</f>
        <v>0.69631999999999994</v>
      </c>
      <c r="J6" s="3">
        <f t="shared" si="5"/>
        <v>0.2</v>
      </c>
    </row>
    <row r="7" spans="1:10">
      <c r="A7" s="1">
        <f t="shared" si="1"/>
        <v>5</v>
      </c>
      <c r="B7" s="2">
        <f t="shared" si="2"/>
        <v>-1</v>
      </c>
      <c r="C7" s="2">
        <f>C6-J6*I6</f>
        <v>-0.44294400000000006</v>
      </c>
      <c r="D7" s="2">
        <f t="shared" si="3"/>
        <v>0.44294400000000006</v>
      </c>
      <c r="E7" s="2">
        <f t="shared" si="0"/>
        <v>0.44294400000000006</v>
      </c>
      <c r="F7" s="2">
        <v>1</v>
      </c>
      <c r="G7" s="2">
        <f t="shared" si="4"/>
        <v>1</v>
      </c>
      <c r="H7" s="2">
        <f>0.5*(E7-G7)^2</f>
        <v>0.15515569356799999</v>
      </c>
      <c r="I7" s="2">
        <f>B7*(E7-G7)*F7</f>
        <v>0.557056</v>
      </c>
      <c r="J7" s="3">
        <f t="shared" si="5"/>
        <v>0.2</v>
      </c>
    </row>
    <row r="8" spans="1:10">
      <c r="A8" s="1">
        <f t="shared" si="1"/>
        <v>6</v>
      </c>
      <c r="B8" s="2">
        <f t="shared" si="2"/>
        <v>-1</v>
      </c>
      <c r="C8" s="2">
        <f>C7-J7*I7</f>
        <v>-0.55435520000000005</v>
      </c>
      <c r="D8" s="2">
        <f t="shared" si="3"/>
        <v>0.55435520000000005</v>
      </c>
      <c r="E8" s="2">
        <f t="shared" si="0"/>
        <v>0.55435520000000005</v>
      </c>
      <c r="F8" s="2">
        <v>1</v>
      </c>
      <c r="G8" s="2">
        <f t="shared" si="4"/>
        <v>1</v>
      </c>
      <c r="H8" s="2">
        <f>0.5*(E8-G8)^2</f>
        <v>9.9299643883519972E-2</v>
      </c>
      <c r="I8" s="2">
        <f>B8*(E8-G8)*F8</f>
        <v>0.44564479999999995</v>
      </c>
      <c r="J8" s="3">
        <f t="shared" si="5"/>
        <v>0.2</v>
      </c>
    </row>
    <row r="9" spans="1:10">
      <c r="A9" s="1">
        <f t="shared" si="1"/>
        <v>7</v>
      </c>
      <c r="B9" s="2">
        <f t="shared" si="2"/>
        <v>-1</v>
      </c>
      <c r="C9" s="2">
        <f>C8-J8*I8</f>
        <v>-0.64348416000000008</v>
      </c>
      <c r="D9" s="2">
        <f t="shared" si="3"/>
        <v>0.64348416000000008</v>
      </c>
      <c r="E9" s="2">
        <f t="shared" si="0"/>
        <v>0.64348416000000008</v>
      </c>
      <c r="F9" s="2">
        <v>1</v>
      </c>
      <c r="G9" s="2">
        <f t="shared" si="4"/>
        <v>1</v>
      </c>
      <c r="H9" s="2">
        <f>0.5*(E9-G9)^2</f>
        <v>6.3551772085452776E-2</v>
      </c>
      <c r="I9" s="2">
        <f>B9*(E9-G9)*F9</f>
        <v>0.35651583999999992</v>
      </c>
      <c r="J9" s="3">
        <f t="shared" si="5"/>
        <v>0.2</v>
      </c>
    </row>
    <row r="10" spans="1:10">
      <c r="A10" s="1">
        <f t="shared" si="1"/>
        <v>8</v>
      </c>
      <c r="B10" s="2">
        <f t="shared" si="2"/>
        <v>-1</v>
      </c>
      <c r="C10" s="2">
        <f>C9-J9*I9</f>
        <v>-0.71478732800000011</v>
      </c>
      <c r="D10" s="2">
        <f t="shared" si="3"/>
        <v>0.71478732800000011</v>
      </c>
      <c r="E10" s="2">
        <f t="shared" si="0"/>
        <v>0.71478732800000011</v>
      </c>
      <c r="F10" s="2">
        <v>1</v>
      </c>
      <c r="G10" s="2">
        <f t="shared" si="4"/>
        <v>1</v>
      </c>
      <c r="H10" s="2">
        <f>0.5*(E10-G10)^2</f>
        <v>4.0673134134689759E-2</v>
      </c>
      <c r="I10" s="2">
        <f>B10*(E10-G10)*F10</f>
        <v>0.28521267199999989</v>
      </c>
      <c r="J10" s="3">
        <f t="shared" si="5"/>
        <v>0.2</v>
      </c>
    </row>
    <row r="11" spans="1:10">
      <c r="A11" s="1">
        <f t="shared" si="1"/>
        <v>9</v>
      </c>
      <c r="B11" s="2">
        <f t="shared" si="2"/>
        <v>-1</v>
      </c>
      <c r="C11" s="2">
        <f>C10-J10*I10</f>
        <v>-0.77182986240000007</v>
      </c>
      <c r="D11" s="2">
        <f t="shared" si="3"/>
        <v>0.77182986240000007</v>
      </c>
      <c r="E11" s="2">
        <f t="shared" si="0"/>
        <v>0.77182986240000007</v>
      </c>
      <c r="F11" s="2">
        <v>1</v>
      </c>
      <c r="G11" s="2">
        <f t="shared" si="4"/>
        <v>1</v>
      </c>
      <c r="H11" s="2">
        <f>0.5*(E11-G11)^2</f>
        <v>2.6030805846201453E-2</v>
      </c>
      <c r="I11" s="2">
        <f>B11*(E11-G11)*F11</f>
        <v>0.22817013759999993</v>
      </c>
      <c r="J11" s="3">
        <f t="shared" si="5"/>
        <v>0.2</v>
      </c>
    </row>
    <row r="12" spans="1:10">
      <c r="A12" s="1">
        <f t="shared" si="1"/>
        <v>10</v>
      </c>
      <c r="B12" s="2">
        <f t="shared" si="2"/>
        <v>-1</v>
      </c>
      <c r="C12" s="2">
        <f>C11-J11*I11</f>
        <v>-0.81746388992000008</v>
      </c>
      <c r="D12" s="2">
        <f t="shared" si="3"/>
        <v>0.81746388992000008</v>
      </c>
      <c r="E12" s="2">
        <f t="shared" si="0"/>
        <v>0.81746388992000008</v>
      </c>
      <c r="F12" s="2">
        <v>1</v>
      </c>
      <c r="G12" s="2">
        <f t="shared" si="4"/>
        <v>1</v>
      </c>
      <c r="H12" s="2">
        <f>0.5*(E12-G12)^2</f>
        <v>1.6659715741568926E-2</v>
      </c>
      <c r="I12" s="2">
        <f>B12*(E12-G12)*F12</f>
        <v>0.18253611007999992</v>
      </c>
      <c r="J12" s="3">
        <f t="shared" si="5"/>
        <v>0.2</v>
      </c>
    </row>
    <row r="13" spans="1:10">
      <c r="A13" s="1">
        <f t="shared" si="1"/>
        <v>11</v>
      </c>
      <c r="B13" s="2">
        <f t="shared" si="2"/>
        <v>-1</v>
      </c>
      <c r="C13" s="2">
        <f>C12-J12*I12</f>
        <v>-0.85397111193600006</v>
      </c>
      <c r="D13" s="2">
        <f t="shared" si="3"/>
        <v>0.85397111193600006</v>
      </c>
      <c r="E13" s="2">
        <f t="shared" si="0"/>
        <v>0.85397111193600006</v>
      </c>
      <c r="F13" s="2">
        <v>1</v>
      </c>
      <c r="G13" s="2">
        <f t="shared" si="4"/>
        <v>1</v>
      </c>
      <c r="H13" s="2">
        <f>0.5*(E13-G13)^2</f>
        <v>1.0662218074604112E-2</v>
      </c>
      <c r="I13" s="2">
        <f>B13*(E13-G13)*F13</f>
        <v>0.14602888806399994</v>
      </c>
      <c r="J13" s="3">
        <f t="shared" si="5"/>
        <v>0.2</v>
      </c>
    </row>
    <row r="14" spans="1:10">
      <c r="A14" s="1">
        <f t="shared" si="1"/>
        <v>12</v>
      </c>
      <c r="B14" s="2">
        <f t="shared" si="2"/>
        <v>-1</v>
      </c>
      <c r="C14" s="2">
        <f>C13-J13*I13</f>
        <v>-0.88317688954880003</v>
      </c>
      <c r="D14" s="2">
        <f t="shared" si="3"/>
        <v>0.88317688954880003</v>
      </c>
      <c r="E14" s="2">
        <f t="shared" si="0"/>
        <v>0.88317688954880003</v>
      </c>
      <c r="F14" s="2">
        <v>1</v>
      </c>
      <c r="G14" s="2">
        <f t="shared" si="4"/>
        <v>1</v>
      </c>
      <c r="H14" s="2">
        <f>0.5*(E14-G14)^2</f>
        <v>6.8238195677466345E-3</v>
      </c>
      <c r="I14" s="2">
        <f>B14*(E14-G14)*F14</f>
        <v>0.11682311045119997</v>
      </c>
      <c r="J14" s="3">
        <f t="shared" si="5"/>
        <v>0.2</v>
      </c>
    </row>
    <row r="15" spans="1:10">
      <c r="A15" s="1">
        <f t="shared" si="1"/>
        <v>13</v>
      </c>
      <c r="B15" s="2">
        <f t="shared" si="2"/>
        <v>-1</v>
      </c>
      <c r="C15" s="2">
        <f>C14-J14*I14</f>
        <v>-0.90654151163904007</v>
      </c>
      <c r="D15" s="2">
        <f t="shared" si="3"/>
        <v>0.90654151163904007</v>
      </c>
      <c r="E15" s="2">
        <f t="shared" si="0"/>
        <v>0.90654151163904007</v>
      </c>
      <c r="F15" s="2">
        <v>1</v>
      </c>
      <c r="G15" s="2">
        <f t="shared" si="4"/>
        <v>1</v>
      </c>
      <c r="H15" s="2">
        <f>0.5*(E15-G15)^2</f>
        <v>4.3672445233578416E-3</v>
      </c>
      <c r="I15" s="2">
        <f>B15*(E15-G15)*F15</f>
        <v>9.3458488360959935E-2</v>
      </c>
      <c r="J15" s="3">
        <f t="shared" si="5"/>
        <v>0.2</v>
      </c>
    </row>
    <row r="16" spans="1:10">
      <c r="A16" s="1">
        <f t="shared" si="1"/>
        <v>14</v>
      </c>
      <c r="B16" s="2">
        <f t="shared" si="2"/>
        <v>-1</v>
      </c>
      <c r="C16" s="2">
        <f>C15-J15*I15</f>
        <v>-0.9252332093112321</v>
      </c>
      <c r="D16" s="2">
        <f t="shared" si="3"/>
        <v>0.9252332093112321</v>
      </c>
      <c r="E16" s="2">
        <f t="shared" si="0"/>
        <v>0.9252332093112321</v>
      </c>
      <c r="F16" s="2">
        <v>1</v>
      </c>
      <c r="G16" s="2">
        <f t="shared" si="4"/>
        <v>1</v>
      </c>
      <c r="H16" s="2">
        <f>0.5*(E16-G16)^2</f>
        <v>2.7950364949490152E-3</v>
      </c>
      <c r="I16" s="2">
        <f>B16*(E16-G16)*F16</f>
        <v>7.4766790688767903E-2</v>
      </c>
      <c r="J16" s="3">
        <f t="shared" si="5"/>
        <v>0.2</v>
      </c>
    </row>
    <row r="18" spans="13:13">
      <c r="M1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5516-43FA-494E-8678-64D4057A1B44}">
  <dimension ref="A1:O19"/>
  <sheetViews>
    <sheetView tabSelected="1" workbookViewId="0">
      <selection activeCell="F1" sqref="F1"/>
    </sheetView>
  </sheetViews>
  <sheetFormatPr baseColWidth="10" defaultRowHeight="14.5"/>
  <cols>
    <col min="1" max="1" width="5.54296875" customWidth="1"/>
    <col min="2" max="2" width="6.54296875" customWidth="1"/>
    <col min="3" max="3" width="6.6328125" customWidth="1"/>
    <col min="4" max="4" width="7.90625" customWidth="1"/>
    <col min="5" max="5" width="6.36328125" customWidth="1"/>
    <col min="6" max="6" width="6.54296875" customWidth="1"/>
    <col min="7" max="7" width="6.453125" customWidth="1"/>
    <col min="8" max="8" width="6.81640625" customWidth="1"/>
    <col min="9" max="9" width="8.6328125" customWidth="1"/>
    <col min="10" max="10" width="6.54296875" customWidth="1"/>
  </cols>
  <sheetData>
    <row r="1" spans="1:10" ht="15">
      <c r="A1" s="4" t="s">
        <v>0</v>
      </c>
      <c r="B1" s="5" t="s">
        <v>1</v>
      </c>
      <c r="C1" s="5" t="s">
        <v>2</v>
      </c>
      <c r="D1" s="10" t="s">
        <v>10</v>
      </c>
      <c r="E1" s="5" t="s">
        <v>11</v>
      </c>
      <c r="F1" s="5" t="s">
        <v>12</v>
      </c>
      <c r="G1" s="5" t="s">
        <v>3</v>
      </c>
      <c r="H1" s="8" t="s">
        <v>7</v>
      </c>
      <c r="I1" s="6" t="s">
        <v>8</v>
      </c>
      <c r="J1" s="7" t="s">
        <v>4</v>
      </c>
    </row>
    <row r="2" spans="1:10">
      <c r="A2" s="1">
        <v>0</v>
      </c>
      <c r="B2" s="2">
        <v>-1</v>
      </c>
      <c r="C2" s="2">
        <v>0.7</v>
      </c>
      <c r="D2" s="2">
        <f>C2*B2</f>
        <v>-0.7</v>
      </c>
      <c r="E2" s="2">
        <f>1/(1+EXP(-D2))</f>
        <v>0.33181222783183389</v>
      </c>
      <c r="F2" s="2">
        <f>E2*(1-E2)</f>
        <v>0.22171287329310907</v>
      </c>
      <c r="G2" s="2">
        <v>1</v>
      </c>
      <c r="H2" s="2">
        <f>0.5*(G2-E2)^2</f>
        <v>0.22323744943752857</v>
      </c>
      <c r="I2" s="2">
        <f>B2*(E2-G2)*F2</f>
        <v>0.14814583086672545</v>
      </c>
      <c r="J2" s="3">
        <v>2</v>
      </c>
    </row>
    <row r="3" spans="1:10">
      <c r="A3" s="1">
        <f>A2+1</f>
        <v>1</v>
      </c>
      <c r="B3" s="2">
        <f>B2</f>
        <v>-1</v>
      </c>
      <c r="C3" s="2">
        <f>C2-J2*I2</f>
        <v>0.40370833826654906</v>
      </c>
      <c r="D3" s="2">
        <f>C3*B3</f>
        <v>-0.40370833826654906</v>
      </c>
      <c r="E3" s="2">
        <f t="shared" ref="E3:E16" si="0">1/(1+EXP(-D3))</f>
        <v>0.40042169873629457</v>
      </c>
      <c r="F3" s="2">
        <f t="shared" ref="F3:F16" si="1">E3*(1-E3)</f>
        <v>0.24008416191743476</v>
      </c>
      <c r="G3" s="2">
        <f>G2</f>
        <v>1</v>
      </c>
      <c r="H3" s="2">
        <f t="shared" ref="H3:H16" si="2">0.5*(E3-G3)^2</f>
        <v>0.17974706967313539</v>
      </c>
      <c r="I3" s="2">
        <f t="shared" ref="I3:I16" si="3">B3*(E3-G3)*F3</f>
        <v>0.14394925396277594</v>
      </c>
      <c r="J3" s="3">
        <f>J2</f>
        <v>2</v>
      </c>
    </row>
    <row r="4" spans="1:10">
      <c r="A4" s="1">
        <f t="shared" ref="A4:A10" si="4">A3+1</f>
        <v>2</v>
      </c>
      <c r="B4" s="2">
        <f t="shared" ref="B4:B10" si="5">B3</f>
        <v>-1</v>
      </c>
      <c r="C4" s="2">
        <f t="shared" ref="C4:C16" si="6">C3-J3*I3</f>
        <v>0.11580983034099718</v>
      </c>
      <c r="D4" s="2">
        <f t="shared" ref="D4:D10" si="7">C4*B4</f>
        <v>-0.11580983034099718</v>
      </c>
      <c r="E4" s="2">
        <f t="shared" si="0"/>
        <v>0.47107985806998748</v>
      </c>
      <c r="F4" s="2">
        <f t="shared" si="1"/>
        <v>0.24916362539074791</v>
      </c>
      <c r="G4" s="2">
        <f t="shared" ref="G4:G10" si="8">G3</f>
        <v>1</v>
      </c>
      <c r="H4" s="2">
        <f t="shared" si="2"/>
        <v>0.13987825826963227</v>
      </c>
      <c r="I4" s="2">
        <f t="shared" si="3"/>
        <v>0.13178766010547083</v>
      </c>
      <c r="J4" s="3">
        <f t="shared" ref="J4:J10" si="9">J3</f>
        <v>2</v>
      </c>
    </row>
    <row r="5" spans="1:10">
      <c r="A5" s="1">
        <f t="shared" si="4"/>
        <v>3</v>
      </c>
      <c r="B5" s="2">
        <f t="shared" si="5"/>
        <v>-1</v>
      </c>
      <c r="C5" s="2">
        <f t="shared" si="6"/>
        <v>-0.14776548986994448</v>
      </c>
      <c r="D5" s="2">
        <f t="shared" si="7"/>
        <v>0.14776548986994448</v>
      </c>
      <c r="E5" s="2">
        <f t="shared" si="0"/>
        <v>0.53687430211198672</v>
      </c>
      <c r="F5" s="2">
        <f t="shared" si="1"/>
        <v>0.24864028584375394</v>
      </c>
      <c r="G5" s="2">
        <f t="shared" si="8"/>
        <v>1</v>
      </c>
      <c r="H5" s="2">
        <f t="shared" si="2"/>
        <v>0.10724270602212967</v>
      </c>
      <c r="I5" s="2">
        <f t="shared" si="3"/>
        <v>0.11515170590446365</v>
      </c>
      <c r="J5" s="3">
        <f t="shared" si="9"/>
        <v>2</v>
      </c>
    </row>
    <row r="6" spans="1:10">
      <c r="A6" s="1">
        <f t="shared" si="4"/>
        <v>4</v>
      </c>
      <c r="B6" s="2">
        <f t="shared" si="5"/>
        <v>-1</v>
      </c>
      <c r="C6" s="2">
        <f t="shared" si="6"/>
        <v>-0.37806890167887175</v>
      </c>
      <c r="D6" s="2">
        <f t="shared" si="7"/>
        <v>0.37806890167887175</v>
      </c>
      <c r="E6" s="2">
        <f t="shared" si="0"/>
        <v>0.59340726119800702</v>
      </c>
      <c r="F6" s="2">
        <f t="shared" si="1"/>
        <v>0.2412750835554873</v>
      </c>
      <c r="G6" s="2">
        <f t="shared" si="8"/>
        <v>1</v>
      </c>
      <c r="H6" s="2">
        <f t="shared" si="2"/>
        <v>8.2658827623252842E-2</v>
      </c>
      <c r="I6" s="2">
        <f t="shared" si="3"/>
        <v>9.8100697027505276E-2</v>
      </c>
      <c r="J6" s="3">
        <f t="shared" si="9"/>
        <v>2</v>
      </c>
    </row>
    <row r="7" spans="1:10">
      <c r="A7" s="1">
        <f t="shared" si="4"/>
        <v>5</v>
      </c>
      <c r="B7" s="2">
        <f t="shared" si="5"/>
        <v>-1</v>
      </c>
      <c r="C7" s="2">
        <f t="shared" si="6"/>
        <v>-0.57427029573388233</v>
      </c>
      <c r="D7" s="2">
        <f t="shared" si="7"/>
        <v>0.57427029573388233</v>
      </c>
      <c r="E7" s="2">
        <f t="shared" si="0"/>
        <v>0.63974793857603351</v>
      </c>
      <c r="F7" s="2">
        <f t="shared" si="1"/>
        <v>0.23047051366374915</v>
      </c>
      <c r="G7" s="2">
        <f t="shared" si="8"/>
        <v>1</v>
      </c>
      <c r="H7" s="2">
        <f t="shared" si="2"/>
        <v>6.4890773880108665E-2</v>
      </c>
      <c r="I7" s="2">
        <f t="shared" si="3"/>
        <v>8.3027477644806072E-2</v>
      </c>
      <c r="J7" s="3">
        <f t="shared" si="9"/>
        <v>2</v>
      </c>
    </row>
    <row r="8" spans="1:10">
      <c r="A8" s="1">
        <f t="shared" si="4"/>
        <v>6</v>
      </c>
      <c r="B8" s="2">
        <f t="shared" si="5"/>
        <v>-1</v>
      </c>
      <c r="C8" s="2">
        <f t="shared" si="6"/>
        <v>-0.74032525102349445</v>
      </c>
      <c r="D8" s="2">
        <f t="shared" si="7"/>
        <v>0.74032525102349445</v>
      </c>
      <c r="E8" s="2">
        <f t="shared" si="0"/>
        <v>0.6770669755873524</v>
      </c>
      <c r="F8" s="2">
        <f t="shared" si="1"/>
        <v>0.21864728615634796</v>
      </c>
      <c r="G8" s="2">
        <f t="shared" si="8"/>
        <v>1</v>
      </c>
      <c r="H8" s="2">
        <f t="shared" si="2"/>
        <v>5.2142869128149825E-2</v>
      </c>
      <c r="I8" s="2">
        <f t="shared" si="3"/>
        <v>7.0608429398087064E-2</v>
      </c>
      <c r="J8" s="3">
        <f t="shared" si="9"/>
        <v>2</v>
      </c>
    </row>
    <row r="9" spans="1:10">
      <c r="A9" s="1">
        <f t="shared" si="4"/>
        <v>7</v>
      </c>
      <c r="B9" s="2">
        <f t="shared" si="5"/>
        <v>-1</v>
      </c>
      <c r="C9" s="2">
        <f t="shared" si="6"/>
        <v>-0.88154210981966852</v>
      </c>
      <c r="D9" s="2">
        <f t="shared" si="7"/>
        <v>0.88154210981966852</v>
      </c>
      <c r="E9" s="2">
        <f t="shared" si="0"/>
        <v>0.70714168218303342</v>
      </c>
      <c r="F9" s="2">
        <f t="shared" si="1"/>
        <v>0.20709232350238319</v>
      </c>
      <c r="G9" s="2">
        <f t="shared" si="8"/>
        <v>1</v>
      </c>
      <c r="H9" s="2">
        <f t="shared" si="2"/>
        <v>4.2882997157291707E-2</v>
      </c>
      <c r="I9" s="2">
        <f t="shared" si="3"/>
        <v>6.0648709493714995E-2</v>
      </c>
      <c r="J9" s="3">
        <f t="shared" si="9"/>
        <v>2</v>
      </c>
    </row>
    <row r="10" spans="1:10">
      <c r="A10" s="1">
        <f t="shared" si="4"/>
        <v>8</v>
      </c>
      <c r="B10" s="2">
        <f t="shared" si="5"/>
        <v>-1</v>
      </c>
      <c r="C10" s="2">
        <f t="shared" si="6"/>
        <v>-1.0028395288070986</v>
      </c>
      <c r="D10" s="2">
        <f t="shared" si="7"/>
        <v>1.0028395288070986</v>
      </c>
      <c r="E10" s="2">
        <f t="shared" si="0"/>
        <v>0.73161649745425172</v>
      </c>
      <c r="F10" s="2">
        <f t="shared" si="1"/>
        <v>0.19635379810702461</v>
      </c>
      <c r="G10" s="2">
        <f t="shared" si="8"/>
        <v>1</v>
      </c>
      <c r="H10" s="2">
        <f t="shared" si="2"/>
        <v>3.6014852219361834E-2</v>
      </c>
      <c r="I10" s="2">
        <f t="shared" si="3"/>
        <v>5.2698120074123979E-2</v>
      </c>
      <c r="J10" s="3">
        <f t="shared" si="9"/>
        <v>2</v>
      </c>
    </row>
    <row r="11" spans="1:10">
      <c r="A11" s="1">
        <f t="shared" ref="A11:A16" si="10">A10+1</f>
        <v>9</v>
      </c>
      <c r="B11" s="2">
        <f t="shared" ref="B11:B16" si="11">B10</f>
        <v>-1</v>
      </c>
      <c r="C11" s="2">
        <f t="shared" si="6"/>
        <v>-1.1082357689553466</v>
      </c>
      <c r="D11" s="2">
        <f t="shared" ref="D11:D16" si="12">C11*B11</f>
        <v>1.1082357689553466</v>
      </c>
      <c r="E11" s="2">
        <f t="shared" si="0"/>
        <v>0.75180005795616089</v>
      </c>
      <c r="F11" s="2">
        <f t="shared" si="1"/>
        <v>0.18659673081327402</v>
      </c>
      <c r="G11" s="2">
        <f t="shared" ref="G11:G16" si="13">G10</f>
        <v>1</v>
      </c>
      <c r="H11" s="2">
        <f t="shared" si="2"/>
        <v>3.0801605615282546E-2</v>
      </c>
      <c r="I11" s="2">
        <f t="shared" si="3"/>
        <v>4.631329777342446E-2</v>
      </c>
      <c r="J11" s="3">
        <f t="shared" ref="J11:J16" si="14">J10</f>
        <v>2</v>
      </c>
    </row>
    <row r="12" spans="1:10">
      <c r="A12" s="1">
        <f t="shared" si="10"/>
        <v>10</v>
      </c>
      <c r="B12" s="2">
        <f t="shared" si="11"/>
        <v>-1</v>
      </c>
      <c r="C12" s="2">
        <f t="shared" si="6"/>
        <v>-1.2008623645021954</v>
      </c>
      <c r="D12" s="2">
        <f t="shared" si="12"/>
        <v>1.2008623645021954</v>
      </c>
      <c r="E12" s="2">
        <f t="shared" si="0"/>
        <v>0.76867815782394833</v>
      </c>
      <c r="F12" s="2">
        <f t="shared" si="1"/>
        <v>0.17781204750832952</v>
      </c>
      <c r="G12" s="2">
        <f t="shared" si="13"/>
        <v>1</v>
      </c>
      <c r="H12" s="2">
        <f t="shared" si="2"/>
        <v>2.6754897333861081E-2</v>
      </c>
      <c r="I12" s="2">
        <f t="shared" si="3"/>
        <v>4.1131810390722404E-2</v>
      </c>
      <c r="J12" s="3">
        <f t="shared" si="14"/>
        <v>2</v>
      </c>
    </row>
    <row r="13" spans="1:10">
      <c r="A13" s="1">
        <f t="shared" si="10"/>
        <v>11</v>
      </c>
      <c r="B13" s="2">
        <f t="shared" si="11"/>
        <v>-1</v>
      </c>
      <c r="C13" s="2">
        <f t="shared" si="6"/>
        <v>-1.2831259852836403</v>
      </c>
      <c r="D13" s="2">
        <f t="shared" si="12"/>
        <v>1.2831259852836403</v>
      </c>
      <c r="E13" s="2">
        <f t="shared" si="0"/>
        <v>0.78298141843940317</v>
      </c>
      <c r="F13" s="2">
        <f t="shared" si="1"/>
        <v>0.16992151681802342</v>
      </c>
      <c r="G13" s="2">
        <f t="shared" si="13"/>
        <v>1</v>
      </c>
      <c r="H13" s="2">
        <f t="shared" si="2"/>
        <v>2.354853237128671E-2</v>
      </c>
      <c r="I13" s="2">
        <f t="shared" si="3"/>
        <v>3.6876126556472544E-2</v>
      </c>
      <c r="J13" s="3">
        <f t="shared" si="14"/>
        <v>2</v>
      </c>
    </row>
    <row r="14" spans="1:10">
      <c r="A14" s="1">
        <f t="shared" si="10"/>
        <v>12</v>
      </c>
      <c r="B14" s="2">
        <f t="shared" si="11"/>
        <v>-1</v>
      </c>
      <c r="C14" s="2">
        <f t="shared" si="6"/>
        <v>-1.3568782383965854</v>
      </c>
      <c r="D14" s="2">
        <f t="shared" si="12"/>
        <v>1.3568782383965854</v>
      </c>
      <c r="E14" s="2">
        <f t="shared" si="0"/>
        <v>0.7952518611928262</v>
      </c>
      <c r="F14" s="2">
        <f t="shared" si="1"/>
        <v>0.16282633846217209</v>
      </c>
      <c r="G14" s="2">
        <f t="shared" si="13"/>
        <v>1</v>
      </c>
      <c r="H14" s="2">
        <f t="shared" si="2"/>
        <v>2.0960900172500855E-2</v>
      </c>
      <c r="I14" s="2">
        <f t="shared" si="3"/>
        <v>3.3338389748916675E-2</v>
      </c>
      <c r="J14" s="3">
        <f t="shared" si="14"/>
        <v>2</v>
      </c>
    </row>
    <row r="15" spans="1:10">
      <c r="A15" s="1">
        <f t="shared" si="10"/>
        <v>13</v>
      </c>
      <c r="B15" s="2">
        <f t="shared" si="11"/>
        <v>-1</v>
      </c>
      <c r="C15" s="2">
        <f t="shared" si="6"/>
        <v>-1.4235550178944187</v>
      </c>
      <c r="D15" s="2">
        <f t="shared" si="12"/>
        <v>1.4235550178944187</v>
      </c>
      <c r="E15" s="2">
        <f t="shared" si="0"/>
        <v>0.80589512617306325</v>
      </c>
      <c r="F15" s="2">
        <f t="shared" si="1"/>
        <v>0.15642817178356572</v>
      </c>
      <c r="G15" s="2">
        <f t="shared" si="13"/>
        <v>1</v>
      </c>
      <c r="H15" s="2">
        <f t="shared" si="2"/>
        <v>1.8838351021685518E-2</v>
      </c>
      <c r="I15" s="2">
        <f t="shared" si="3"/>
        <v>3.0363470547027413E-2</v>
      </c>
      <c r="J15" s="3">
        <f t="shared" si="14"/>
        <v>2</v>
      </c>
    </row>
    <row r="16" spans="1:10">
      <c r="A16" s="1">
        <f t="shared" si="10"/>
        <v>14</v>
      </c>
      <c r="B16" s="2">
        <f t="shared" si="11"/>
        <v>-1</v>
      </c>
      <c r="C16" s="2">
        <f t="shared" si="6"/>
        <v>-1.4842819589884735</v>
      </c>
      <c r="D16" s="2">
        <f t="shared" si="12"/>
        <v>1.4842819589884735</v>
      </c>
      <c r="E16" s="2">
        <f t="shared" si="0"/>
        <v>0.81521847431502958</v>
      </c>
      <c r="F16" s="2">
        <f t="shared" si="1"/>
        <v>0.15063731345050504</v>
      </c>
      <c r="G16" s="2">
        <f t="shared" si="13"/>
        <v>1</v>
      </c>
      <c r="H16" s="2">
        <f t="shared" si="2"/>
        <v>1.7072106117232692E-2</v>
      </c>
      <c r="I16" s="2">
        <f t="shared" si="3"/>
        <v>2.7834992604469439E-2</v>
      </c>
      <c r="J16" s="3">
        <f t="shared" si="14"/>
        <v>2</v>
      </c>
    </row>
    <row r="19" spans="15:15">
      <c r="O19" s="9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lineal</vt:lpstr>
      <vt:lpstr>sigmoide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</dc:creator>
  <cp:lastModifiedBy>Francisco Javier García Algarra</cp:lastModifiedBy>
  <dcterms:created xsi:type="dcterms:W3CDTF">2021-03-10T14:48:27Z</dcterms:created>
  <dcterms:modified xsi:type="dcterms:W3CDTF">2026-10-28T15:29:37Z</dcterms:modified>
</cp:coreProperties>
</file>