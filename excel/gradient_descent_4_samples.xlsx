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_usuario\javier\utad\INGENIERIA_SW\ml2\25-26\codigo\excel\"/>
    </mc:Choice>
  </mc:AlternateContent>
  <xr:revisionPtr revIDLastSave="0" documentId="13_ncr:1_{52CB2BF0-A4F5-4ECB-84E0-7F4B04702814}" xr6:coauthVersionLast="47" xr6:coauthVersionMax="47" xr10:uidLastSave="{00000000-0000-0000-0000-000000000000}"/>
  <bookViews>
    <workbookView xWindow="-110" yWindow="-110" windowWidth="19420" windowHeight="10300" activeTab="1" xr2:uid="{532386F0-35CB-40A5-AF08-763F5C41A639}"/>
  </bookViews>
  <sheets>
    <sheet name="sigmoide MSE" sheetId="3" r:id="rId1"/>
    <sheet name="sigmoide Cross-entrop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8" i="4" l="1"/>
  <c r="D145" i="4" s="1"/>
  <c r="C138" i="4"/>
  <c r="C145" i="4" s="1"/>
  <c r="B138" i="4"/>
  <c r="B145" i="4" s="1"/>
  <c r="D137" i="4"/>
  <c r="D144" i="4" s="1"/>
  <c r="C137" i="4"/>
  <c r="C144" i="4" s="1"/>
  <c r="B137" i="4"/>
  <c r="B144" i="4" s="1"/>
  <c r="D136" i="4"/>
  <c r="D143" i="4" s="1"/>
  <c r="C136" i="4"/>
  <c r="C143" i="4" s="1"/>
  <c r="B136" i="4"/>
  <c r="B143" i="4" s="1"/>
  <c r="D135" i="4"/>
  <c r="D142" i="4" s="1"/>
  <c r="C135" i="4"/>
  <c r="C142" i="4" s="1"/>
  <c r="B135" i="4"/>
  <c r="B142" i="4" s="1"/>
  <c r="D108" i="4"/>
  <c r="D115" i="4" s="1"/>
  <c r="C108" i="4"/>
  <c r="C115" i="4" s="1"/>
  <c r="B108" i="4"/>
  <c r="B115" i="4" s="1"/>
  <c r="D107" i="4"/>
  <c r="D114" i="4" s="1"/>
  <c r="C107" i="4"/>
  <c r="C114" i="4" s="1"/>
  <c r="B107" i="4"/>
  <c r="B114" i="4" s="1"/>
  <c r="D106" i="4"/>
  <c r="D113" i="4" s="1"/>
  <c r="C106" i="4"/>
  <c r="C113" i="4" s="1"/>
  <c r="B106" i="4"/>
  <c r="B113" i="4" s="1"/>
  <c r="D105" i="4"/>
  <c r="D112" i="4" s="1"/>
  <c r="C105" i="4"/>
  <c r="C112" i="4" s="1"/>
  <c r="B105" i="4"/>
  <c r="B112" i="4" s="1"/>
  <c r="D78" i="4"/>
  <c r="D85" i="4" s="1"/>
  <c r="C78" i="4"/>
  <c r="C85" i="4" s="1"/>
  <c r="B78" i="4"/>
  <c r="B85" i="4" s="1"/>
  <c r="D77" i="4"/>
  <c r="D84" i="4" s="1"/>
  <c r="C77" i="4"/>
  <c r="C84" i="4" s="1"/>
  <c r="B77" i="4"/>
  <c r="B84" i="4" s="1"/>
  <c r="D76" i="4"/>
  <c r="D83" i="4" s="1"/>
  <c r="C76" i="4"/>
  <c r="C83" i="4" s="1"/>
  <c r="B76" i="4"/>
  <c r="B83" i="4" s="1"/>
  <c r="D75" i="4"/>
  <c r="D82" i="4" s="1"/>
  <c r="C75" i="4"/>
  <c r="C82" i="4" s="1"/>
  <c r="B75" i="4"/>
  <c r="B82" i="4" s="1"/>
  <c r="A36" i="4"/>
  <c r="A45" i="4" s="1"/>
  <c r="A52" i="4" s="1"/>
  <c r="C54" i="4"/>
  <c r="D48" i="4"/>
  <c r="D55" i="4" s="1"/>
  <c r="C48" i="4"/>
  <c r="C55" i="4" s="1"/>
  <c r="B48" i="4"/>
  <c r="B55" i="4" s="1"/>
  <c r="D47" i="4"/>
  <c r="D54" i="4" s="1"/>
  <c r="C47" i="4"/>
  <c r="B47" i="4"/>
  <c r="B54" i="4" s="1"/>
  <c r="D46" i="4"/>
  <c r="D53" i="4" s="1"/>
  <c r="C46" i="4"/>
  <c r="C53" i="4" s="1"/>
  <c r="B46" i="4"/>
  <c r="B53" i="4" s="1"/>
  <c r="D45" i="4"/>
  <c r="D52" i="4" s="1"/>
  <c r="C45" i="4"/>
  <c r="C52" i="4" s="1"/>
  <c r="B45" i="4"/>
  <c r="B52" i="4" s="1"/>
  <c r="D18" i="4"/>
  <c r="D25" i="4" s="1"/>
  <c r="C18" i="4"/>
  <c r="C25" i="4" s="1"/>
  <c r="B18" i="4"/>
  <c r="B25" i="4" s="1"/>
  <c r="D17" i="4"/>
  <c r="D24" i="4" s="1"/>
  <c r="C17" i="4"/>
  <c r="C24" i="4" s="1"/>
  <c r="B17" i="4"/>
  <c r="B24" i="4" s="1"/>
  <c r="D16" i="4"/>
  <c r="D23" i="4" s="1"/>
  <c r="C16" i="4"/>
  <c r="C23" i="4" s="1"/>
  <c r="B16" i="4"/>
  <c r="B23" i="4" s="1"/>
  <c r="I15" i="4"/>
  <c r="I22" i="4" s="1"/>
  <c r="G15" i="4"/>
  <c r="G22" i="4" s="1"/>
  <c r="E15" i="4"/>
  <c r="E22" i="4" s="1"/>
  <c r="D15" i="4"/>
  <c r="D22" i="4" s="1"/>
  <c r="C15" i="4"/>
  <c r="C22" i="4" s="1"/>
  <c r="B15" i="4"/>
  <c r="A15" i="4"/>
  <c r="A22" i="4" s="1"/>
  <c r="I7" i="4"/>
  <c r="I8" i="4" s="1"/>
  <c r="I9" i="4" s="1"/>
  <c r="G7" i="4"/>
  <c r="G8" i="4" s="1"/>
  <c r="G9" i="4" s="1"/>
  <c r="E7" i="4"/>
  <c r="E8" i="4" s="1"/>
  <c r="A7" i="4"/>
  <c r="A8" i="4" s="1"/>
  <c r="K6" i="4"/>
  <c r="L6" i="4" s="1"/>
  <c r="O6" i="4" s="1"/>
  <c r="B64" i="3"/>
  <c r="B93" i="3" s="1"/>
  <c r="B102" i="3" s="1"/>
  <c r="B109" i="3" s="1"/>
  <c r="D38" i="3"/>
  <c r="D47" i="3" s="1"/>
  <c r="C38" i="3"/>
  <c r="C67" i="3" s="1"/>
  <c r="C96" i="3" s="1"/>
  <c r="B38" i="3"/>
  <c r="B47" i="3" s="1"/>
  <c r="D37" i="3"/>
  <c r="D46" i="3" s="1"/>
  <c r="D53" i="3" s="1"/>
  <c r="D82" i="3" s="1"/>
  <c r="C37" i="3"/>
  <c r="C46" i="3" s="1"/>
  <c r="B37" i="3"/>
  <c r="B46" i="3" s="1"/>
  <c r="B53" i="3" s="1"/>
  <c r="B82" i="3" s="1"/>
  <c r="D36" i="3"/>
  <c r="D45" i="3" s="1"/>
  <c r="D52" i="3" s="1"/>
  <c r="D81" i="3" s="1"/>
  <c r="C36" i="3"/>
  <c r="C45" i="3" s="1"/>
  <c r="C52" i="3" s="1"/>
  <c r="C81" i="3" s="1"/>
  <c r="B36" i="3"/>
  <c r="B65" i="3" s="1"/>
  <c r="B94" i="3" s="1"/>
  <c r="E35" i="3"/>
  <c r="D35" i="3"/>
  <c r="D64" i="3" s="1"/>
  <c r="D93" i="3" s="1"/>
  <c r="C35" i="3"/>
  <c r="C64" i="3" s="1"/>
  <c r="C93" i="3" s="1"/>
  <c r="B35" i="3"/>
  <c r="A93" i="3"/>
  <c r="A102" i="3" s="1"/>
  <c r="A109" i="3" s="1"/>
  <c r="A73" i="3"/>
  <c r="A80" i="3" s="1"/>
  <c r="A65" i="3"/>
  <c r="A74" i="3" s="1"/>
  <c r="A81" i="3" s="1"/>
  <c r="A44" i="3"/>
  <c r="A51" i="3" s="1"/>
  <c r="A36" i="3"/>
  <c r="A45" i="3" s="1"/>
  <c r="A52" i="3" s="1"/>
  <c r="D18" i="3"/>
  <c r="D25" i="3" s="1"/>
  <c r="C18" i="3"/>
  <c r="C25" i="3" s="1"/>
  <c r="B18" i="3"/>
  <c r="B25" i="3" s="1"/>
  <c r="D17" i="3"/>
  <c r="D24" i="3" s="1"/>
  <c r="C17" i="3"/>
  <c r="C24" i="3" s="1"/>
  <c r="B17" i="3"/>
  <c r="B24" i="3" s="1"/>
  <c r="D16" i="3"/>
  <c r="D23" i="3" s="1"/>
  <c r="C16" i="3"/>
  <c r="C23" i="3" s="1"/>
  <c r="B16" i="3"/>
  <c r="B23" i="3" s="1"/>
  <c r="D15" i="3"/>
  <c r="D22" i="3" s="1"/>
  <c r="C15" i="3"/>
  <c r="C22" i="3" s="1"/>
  <c r="B15" i="3"/>
  <c r="B22" i="3" s="1"/>
  <c r="B51" i="3" s="1"/>
  <c r="B80" i="3" s="1"/>
  <c r="A15" i="3"/>
  <c r="A22" i="3" s="1"/>
  <c r="A37" i="4" l="1"/>
  <c r="A38" i="4" s="1"/>
  <c r="A66" i="4"/>
  <c r="A75" i="4" s="1"/>
  <c r="A82" i="4" s="1"/>
  <c r="L15" i="4"/>
  <c r="P15" i="4" s="1"/>
  <c r="E16" i="4"/>
  <c r="E17" i="4" s="1"/>
  <c r="E18" i="4" s="1"/>
  <c r="A96" i="4"/>
  <c r="C47" i="3"/>
  <c r="C54" i="3" s="1"/>
  <c r="C83" i="3" s="1"/>
  <c r="C65" i="3"/>
  <c r="C94" i="3" s="1"/>
  <c r="C103" i="3" s="1"/>
  <c r="C110" i="3" s="1"/>
  <c r="C74" i="3"/>
  <c r="D75" i="3"/>
  <c r="B45" i="3"/>
  <c r="C105" i="3"/>
  <c r="C112" i="3" s="1"/>
  <c r="C125" i="3"/>
  <c r="B103" i="3"/>
  <c r="B110" i="3" s="1"/>
  <c r="B123" i="3"/>
  <c r="D54" i="3"/>
  <c r="D83" i="3" s="1"/>
  <c r="D76" i="3"/>
  <c r="C53" i="3"/>
  <c r="C82" i="3" s="1"/>
  <c r="C75" i="3"/>
  <c r="C102" i="3"/>
  <c r="C109" i="3" s="1"/>
  <c r="C122" i="3"/>
  <c r="D102" i="3"/>
  <c r="D109" i="3" s="1"/>
  <c r="D122" i="3"/>
  <c r="B54" i="3"/>
  <c r="B83" i="3" s="1"/>
  <c r="B76" i="3"/>
  <c r="C66" i="3"/>
  <c r="C95" i="3" s="1"/>
  <c r="C44" i="3"/>
  <c r="D66" i="3"/>
  <c r="D95" i="3" s="1"/>
  <c r="B122" i="3"/>
  <c r="D44" i="3"/>
  <c r="B67" i="3"/>
  <c r="B96" i="3" s="1"/>
  <c r="D74" i="3"/>
  <c r="B75" i="3"/>
  <c r="D67" i="3"/>
  <c r="D96" i="3" s="1"/>
  <c r="D65" i="3"/>
  <c r="D94" i="3" s="1"/>
  <c r="B44" i="3"/>
  <c r="B73" i="3" s="1"/>
  <c r="B66" i="3"/>
  <c r="B95" i="3" s="1"/>
  <c r="C76" i="3"/>
  <c r="A67" i="4"/>
  <c r="A39" i="4"/>
  <c r="A48" i="4" s="1"/>
  <c r="A55" i="4" s="1"/>
  <c r="A47" i="4"/>
  <c r="A54" i="4" s="1"/>
  <c r="G16" i="4"/>
  <c r="G17" i="4" s="1"/>
  <c r="I16" i="4"/>
  <c r="I17" i="4" s="1"/>
  <c r="I24" i="4" s="1"/>
  <c r="A16" i="4"/>
  <c r="A23" i="4" s="1"/>
  <c r="K15" i="4"/>
  <c r="E9" i="4"/>
  <c r="K9" i="4" s="1"/>
  <c r="L9" i="4" s="1"/>
  <c r="O9" i="4" s="1"/>
  <c r="K8" i="4"/>
  <c r="L8" i="4" s="1"/>
  <c r="O8" i="4" s="1"/>
  <c r="O15" i="4"/>
  <c r="O22" i="4" s="1"/>
  <c r="M6" i="4"/>
  <c r="A9" i="4"/>
  <c r="A18" i="4" s="1"/>
  <c r="A25" i="4" s="1"/>
  <c r="A17" i="4"/>
  <c r="A24" i="4" s="1"/>
  <c r="G18" i="4"/>
  <c r="G25" i="4" s="1"/>
  <c r="K7" i="4"/>
  <c r="L7" i="4" s="1"/>
  <c r="O7" i="4" s="1"/>
  <c r="G23" i="4"/>
  <c r="E23" i="4"/>
  <c r="B22" i="4"/>
  <c r="K22" i="4" s="1"/>
  <c r="A66" i="3"/>
  <c r="A122" i="3"/>
  <c r="A153" i="3" s="1"/>
  <c r="A94" i="3"/>
  <c r="A37" i="3"/>
  <c r="A46" i="4" l="1"/>
  <c r="A53" i="4" s="1"/>
  <c r="E24" i="4"/>
  <c r="K17" i="4"/>
  <c r="G24" i="4"/>
  <c r="I18" i="4"/>
  <c r="I25" i="4" s="1"/>
  <c r="A97" i="4"/>
  <c r="A105" i="4"/>
  <c r="A112" i="4" s="1"/>
  <c r="A126" i="4"/>
  <c r="I23" i="4"/>
  <c r="K23" i="4" s="1"/>
  <c r="K16" i="4"/>
  <c r="C123" i="3"/>
  <c r="B52" i="3"/>
  <c r="B81" i="3" s="1"/>
  <c r="B74" i="3"/>
  <c r="D105" i="3"/>
  <c r="D112" i="3" s="1"/>
  <c r="D125" i="3"/>
  <c r="C104" i="3"/>
  <c r="C111" i="3" s="1"/>
  <c r="C124" i="3"/>
  <c r="C132" i="3"/>
  <c r="C141" i="3" s="1"/>
  <c r="C154" i="3"/>
  <c r="C163" i="3" s="1"/>
  <c r="C172" i="3" s="1"/>
  <c r="B105" i="3"/>
  <c r="B112" i="3" s="1"/>
  <c r="B125" i="3"/>
  <c r="D131" i="3"/>
  <c r="D140" i="3" s="1"/>
  <c r="D153" i="3"/>
  <c r="D162" i="3" s="1"/>
  <c r="D171" i="3" s="1"/>
  <c r="D51" i="3"/>
  <c r="D80" i="3" s="1"/>
  <c r="D73" i="3"/>
  <c r="B104" i="3"/>
  <c r="B111" i="3" s="1"/>
  <c r="B124" i="3"/>
  <c r="B131" i="3"/>
  <c r="B140" i="3" s="1"/>
  <c r="B153" i="3"/>
  <c r="B162" i="3" s="1"/>
  <c r="B171" i="3" s="1"/>
  <c r="C153" i="3"/>
  <c r="C162" i="3" s="1"/>
  <c r="C171" i="3" s="1"/>
  <c r="C131" i="3"/>
  <c r="C140" i="3" s="1"/>
  <c r="B132" i="3"/>
  <c r="B141" i="3" s="1"/>
  <c r="B154" i="3"/>
  <c r="B163" i="3" s="1"/>
  <c r="B172" i="3" s="1"/>
  <c r="A154" i="3"/>
  <c r="A162" i="3"/>
  <c r="A171" i="3" s="1"/>
  <c r="D104" i="3"/>
  <c r="D111" i="3" s="1"/>
  <c r="D124" i="3"/>
  <c r="D103" i="3"/>
  <c r="D110" i="3" s="1"/>
  <c r="D123" i="3"/>
  <c r="C51" i="3"/>
  <c r="C80" i="3" s="1"/>
  <c r="C73" i="3"/>
  <c r="C134" i="3"/>
  <c r="C143" i="3" s="1"/>
  <c r="C156" i="3"/>
  <c r="C165" i="3" s="1"/>
  <c r="C174" i="3" s="1"/>
  <c r="A68" i="4"/>
  <c r="A76" i="4"/>
  <c r="A83" i="4" s="1"/>
  <c r="N15" i="4"/>
  <c r="N22" i="4" s="1"/>
  <c r="K18" i="4"/>
  <c r="E25" i="4"/>
  <c r="K25" i="4" s="1"/>
  <c r="L22" i="4"/>
  <c r="M15" i="4"/>
  <c r="P22" i="4"/>
  <c r="L18" i="4"/>
  <c r="P18" i="4" s="1"/>
  <c r="O18" i="4"/>
  <c r="O25" i="4" s="1"/>
  <c r="M9" i="4"/>
  <c r="O16" i="4"/>
  <c r="O23" i="4" s="1"/>
  <c r="M7" i="4"/>
  <c r="L16" i="4"/>
  <c r="P16" i="4" s="1"/>
  <c r="O17" i="4"/>
  <c r="O24" i="4" s="1"/>
  <c r="M8" i="4"/>
  <c r="L17" i="4"/>
  <c r="P17" i="4" s="1"/>
  <c r="K24" i="4"/>
  <c r="A123" i="3"/>
  <c r="A131" i="3"/>
  <c r="A140" i="3" s="1"/>
  <c r="A75" i="3"/>
  <c r="A82" i="3" s="1"/>
  <c r="A67" i="3"/>
  <c r="A76" i="3" s="1"/>
  <c r="A83" i="3" s="1"/>
  <c r="A103" i="3"/>
  <c r="A110" i="3" s="1"/>
  <c r="A95" i="3"/>
  <c r="A38" i="3"/>
  <c r="A47" i="3" s="1"/>
  <c r="A54" i="3" s="1"/>
  <c r="A46" i="3"/>
  <c r="A53" i="3" s="1"/>
  <c r="A135" i="4" l="1"/>
  <c r="A142" i="4" s="1"/>
  <c r="A127" i="4"/>
  <c r="A98" i="4"/>
  <c r="A106" i="4"/>
  <c r="A113" i="4" s="1"/>
  <c r="D133" i="3"/>
  <c r="D142" i="3" s="1"/>
  <c r="D155" i="3"/>
  <c r="D164" i="3" s="1"/>
  <c r="D173" i="3" s="1"/>
  <c r="B156" i="3"/>
  <c r="B165" i="3" s="1"/>
  <c r="B174" i="3" s="1"/>
  <c r="B134" i="3"/>
  <c r="B143" i="3" s="1"/>
  <c r="B133" i="3"/>
  <c r="B142" i="3" s="1"/>
  <c r="B155" i="3"/>
  <c r="B164" i="3" s="1"/>
  <c r="B173" i="3" s="1"/>
  <c r="A163" i="3"/>
  <c r="A172" i="3" s="1"/>
  <c r="A155" i="3"/>
  <c r="C133" i="3"/>
  <c r="C142" i="3" s="1"/>
  <c r="C155" i="3"/>
  <c r="C164" i="3" s="1"/>
  <c r="C173" i="3" s="1"/>
  <c r="D132" i="3"/>
  <c r="D141" i="3" s="1"/>
  <c r="D154" i="3"/>
  <c r="D163" i="3" s="1"/>
  <c r="D172" i="3" s="1"/>
  <c r="D134" i="3"/>
  <c r="D143" i="3" s="1"/>
  <c r="D156" i="3"/>
  <c r="D165" i="3" s="1"/>
  <c r="D174" i="3" s="1"/>
  <c r="A77" i="4"/>
  <c r="A84" i="4" s="1"/>
  <c r="A69" i="4"/>
  <c r="A78" i="4" s="1"/>
  <c r="A85" i="4" s="1"/>
  <c r="N16" i="4"/>
  <c r="N23" i="4" s="1"/>
  <c r="N17" i="4"/>
  <c r="N24" i="4" s="1"/>
  <c r="P24" i="4"/>
  <c r="N18" i="4"/>
  <c r="N25" i="4" s="1"/>
  <c r="P25" i="4"/>
  <c r="O11" i="4"/>
  <c r="M18" i="4"/>
  <c r="L25" i="4"/>
  <c r="L23" i="4"/>
  <c r="M16" i="4"/>
  <c r="P23" i="4"/>
  <c r="Q22" i="4"/>
  <c r="M22" i="4"/>
  <c r="L24" i="4"/>
  <c r="M17" i="4"/>
  <c r="A124" i="3"/>
  <c r="A132" i="3"/>
  <c r="A141" i="3" s="1"/>
  <c r="A96" i="3"/>
  <c r="A105" i="3" s="1"/>
  <c r="A112" i="3" s="1"/>
  <c r="A104" i="3"/>
  <c r="A111" i="3" s="1"/>
  <c r="A107" i="4" l="1"/>
  <c r="A114" i="4" s="1"/>
  <c r="A99" i="4"/>
  <c r="A108" i="4" s="1"/>
  <c r="A115" i="4" s="1"/>
  <c r="Q23" i="4"/>
  <c r="F23" i="4" s="1"/>
  <c r="A128" i="4"/>
  <c r="A136" i="4"/>
  <c r="A143" i="4" s="1"/>
  <c r="A164" i="3"/>
  <c r="A173" i="3" s="1"/>
  <c r="A156" i="3"/>
  <c r="A165" i="3" s="1"/>
  <c r="A174" i="3" s="1"/>
  <c r="M23" i="4"/>
  <c r="Q25" i="4"/>
  <c r="Q24" i="4"/>
  <c r="M25" i="4"/>
  <c r="M24" i="4"/>
  <c r="F22" i="4"/>
  <c r="J22" i="4"/>
  <c r="H22" i="4"/>
  <c r="A125" i="3"/>
  <c r="A134" i="3" s="1"/>
  <c r="A143" i="3" s="1"/>
  <c r="A133" i="3"/>
  <c r="A142" i="3" s="1"/>
  <c r="H23" i="4" l="1"/>
  <c r="J23" i="4"/>
  <c r="A137" i="4"/>
  <c r="A144" i="4" s="1"/>
  <c r="A129" i="4"/>
  <c r="A138" i="4" s="1"/>
  <c r="A145" i="4" s="1"/>
  <c r="J24" i="4"/>
  <c r="H24" i="4"/>
  <c r="F24" i="4"/>
  <c r="J25" i="4"/>
  <c r="H25" i="4"/>
  <c r="F25" i="4"/>
  <c r="I15" i="3"/>
  <c r="I16" i="3" s="1"/>
  <c r="I17" i="3" s="1"/>
  <c r="I18" i="3" s="1"/>
  <c r="I25" i="3" s="1"/>
  <c r="G15" i="3"/>
  <c r="G16" i="3" s="1"/>
  <c r="G17" i="3" s="1"/>
  <c r="G18" i="3" s="1"/>
  <c r="G25" i="3" s="1"/>
  <c r="A7" i="3"/>
  <c r="E15" i="3"/>
  <c r="E22" i="3" s="1"/>
  <c r="I7" i="3"/>
  <c r="I8" i="3" s="1"/>
  <c r="I9" i="3" s="1"/>
  <c r="G7" i="3"/>
  <c r="G8" i="3" s="1"/>
  <c r="G9" i="3" s="1"/>
  <c r="E7" i="3"/>
  <c r="K6" i="3"/>
  <c r="G30" i="4" l="1"/>
  <c r="G36" i="4" s="1"/>
  <c r="E30" i="4"/>
  <c r="E36" i="4" s="1"/>
  <c r="G45" i="4"/>
  <c r="G37" i="4"/>
  <c r="G38" i="4" s="1"/>
  <c r="G39" i="4" s="1"/>
  <c r="E37" i="4"/>
  <c r="E45" i="4"/>
  <c r="E8" i="3"/>
  <c r="E36" i="3"/>
  <c r="I30" i="4"/>
  <c r="I36" i="4" s="1"/>
  <c r="A8" i="3"/>
  <c r="A17" i="3" s="1"/>
  <c r="A24" i="3" s="1"/>
  <c r="A16" i="3"/>
  <c r="A23" i="3" s="1"/>
  <c r="L6" i="3"/>
  <c r="M6" i="3" s="1"/>
  <c r="G22" i="3"/>
  <c r="G23" i="3"/>
  <c r="G24" i="3"/>
  <c r="I22" i="3"/>
  <c r="I23" i="3"/>
  <c r="I24" i="3"/>
  <c r="A9" i="3"/>
  <c r="A18" i="3" s="1"/>
  <c r="A25" i="3" s="1"/>
  <c r="K15" i="3"/>
  <c r="E16" i="3"/>
  <c r="K7" i="3"/>
  <c r="L7" i="3" s="1"/>
  <c r="M7" i="3" s="1"/>
  <c r="K8" i="3"/>
  <c r="L8" i="3" s="1"/>
  <c r="M8" i="3" s="1"/>
  <c r="E46" i="4" l="1"/>
  <c r="E52" i="4"/>
  <c r="E38" i="4"/>
  <c r="I37" i="4"/>
  <c r="I38" i="4" s="1"/>
  <c r="I39" i="4" s="1"/>
  <c r="I45" i="4"/>
  <c r="K45" i="4" s="1"/>
  <c r="K36" i="4"/>
  <c r="L36" i="4" s="1"/>
  <c r="G52" i="4"/>
  <c r="G46" i="4"/>
  <c r="E9" i="3"/>
  <c r="E37" i="3"/>
  <c r="O6" i="3"/>
  <c r="O15" i="3" s="1"/>
  <c r="L15" i="3"/>
  <c r="L17" i="3"/>
  <c r="L16" i="3"/>
  <c r="K22" i="3"/>
  <c r="E17" i="3"/>
  <c r="K17" i="3" s="1"/>
  <c r="E23" i="3"/>
  <c r="K23" i="3" s="1"/>
  <c r="K16" i="3"/>
  <c r="I46" i="4" l="1"/>
  <c r="I52" i="4"/>
  <c r="K52" i="4" s="1"/>
  <c r="K38" i="4"/>
  <c r="L38" i="4" s="1"/>
  <c r="E39" i="4"/>
  <c r="K39" i="4" s="1"/>
  <c r="L39" i="4" s="1"/>
  <c r="O36" i="4"/>
  <c r="O45" i="4" s="1"/>
  <c r="M36" i="4"/>
  <c r="L45" i="4"/>
  <c r="K37" i="4"/>
  <c r="L37" i="4" s="1"/>
  <c r="G47" i="4"/>
  <c r="G53" i="4"/>
  <c r="E53" i="4"/>
  <c r="K46" i="4"/>
  <c r="E47" i="4"/>
  <c r="P17" i="3"/>
  <c r="M17" i="3"/>
  <c r="P16" i="3"/>
  <c r="P23" i="3" s="1"/>
  <c r="M16" i="3"/>
  <c r="P15" i="3"/>
  <c r="P22" i="3" s="1"/>
  <c r="M15" i="3"/>
  <c r="E38" i="3"/>
  <c r="K9" i="3"/>
  <c r="L9" i="3" s="1"/>
  <c r="N15" i="3"/>
  <c r="N16" i="3"/>
  <c r="N23" i="3" s="1"/>
  <c r="P24" i="3"/>
  <c r="N17" i="3"/>
  <c r="N24" i="3" s="1"/>
  <c r="L22" i="3"/>
  <c r="N22" i="3"/>
  <c r="O7" i="3"/>
  <c r="O16" i="3" s="1"/>
  <c r="L23" i="3"/>
  <c r="M23" i="3" s="1"/>
  <c r="L24" i="3"/>
  <c r="M24" i="3" s="1"/>
  <c r="O8" i="3"/>
  <c r="O17" i="3" s="1"/>
  <c r="E18" i="3"/>
  <c r="E24" i="3"/>
  <c r="K24" i="3" s="1"/>
  <c r="E48" i="4" l="1"/>
  <c r="E54" i="4"/>
  <c r="O52" i="4"/>
  <c r="K53" i="4"/>
  <c r="G54" i="4"/>
  <c r="G48" i="4"/>
  <c r="G55" i="4" s="1"/>
  <c r="M38" i="4"/>
  <c r="O38" i="4"/>
  <c r="O47" i="4" s="1"/>
  <c r="O54" i="4" s="1"/>
  <c r="L47" i="4"/>
  <c r="L52" i="4"/>
  <c r="M52" i="4" s="1"/>
  <c r="P45" i="4"/>
  <c r="P52" i="4" s="1"/>
  <c r="N45" i="4"/>
  <c r="N52" i="4" s="1"/>
  <c r="M45" i="4"/>
  <c r="O39" i="4"/>
  <c r="O48" i="4" s="1"/>
  <c r="O55" i="4" s="1"/>
  <c r="M39" i="4"/>
  <c r="L48" i="4"/>
  <c r="I53" i="4"/>
  <c r="I47" i="4"/>
  <c r="M37" i="4"/>
  <c r="O37" i="4"/>
  <c r="O46" i="4" s="1"/>
  <c r="O53" i="4" s="1"/>
  <c r="L46" i="4"/>
  <c r="M9" i="3"/>
  <c r="L18" i="3"/>
  <c r="O9" i="3"/>
  <c r="O18" i="3" s="1"/>
  <c r="O22" i="3"/>
  <c r="M22" i="3"/>
  <c r="Q22" i="3"/>
  <c r="F22" i="3" s="1"/>
  <c r="O11" i="3"/>
  <c r="Q23" i="3"/>
  <c r="O23" i="3"/>
  <c r="O24" i="3"/>
  <c r="K18" i="3"/>
  <c r="E25" i="3"/>
  <c r="K25" i="3" s="1"/>
  <c r="Q52" i="4" l="1"/>
  <c r="I48" i="4"/>
  <c r="I55" i="4" s="1"/>
  <c r="I54" i="4"/>
  <c r="K54" i="4" s="1"/>
  <c r="M47" i="4"/>
  <c r="P47" i="4"/>
  <c r="P54" i="4" s="1"/>
  <c r="N47" i="4"/>
  <c r="N54" i="4" s="1"/>
  <c r="L54" i="4"/>
  <c r="M54" i="4" s="1"/>
  <c r="P48" i="4"/>
  <c r="P55" i="4" s="1"/>
  <c r="Q55" i="4" s="1"/>
  <c r="N48" i="4"/>
  <c r="N55" i="4" s="1"/>
  <c r="M48" i="4"/>
  <c r="L55" i="4"/>
  <c r="M55" i="4" s="1"/>
  <c r="L53" i="4"/>
  <c r="M53" i="4" s="1"/>
  <c r="N46" i="4"/>
  <c r="N53" i="4" s="1"/>
  <c r="P46" i="4"/>
  <c r="P53" i="4" s="1"/>
  <c r="Q53" i="4" s="1"/>
  <c r="M46" i="4"/>
  <c r="O41" i="4"/>
  <c r="K47" i="4"/>
  <c r="K48" i="4"/>
  <c r="E55" i="4"/>
  <c r="K55" i="4" s="1"/>
  <c r="P18" i="3"/>
  <c r="P25" i="3" s="1"/>
  <c r="M18" i="3"/>
  <c r="N18" i="3"/>
  <c r="N25" i="3" s="1"/>
  <c r="L25" i="3"/>
  <c r="M25" i="3" s="1"/>
  <c r="J22" i="3"/>
  <c r="H22" i="3"/>
  <c r="F23" i="3"/>
  <c r="H23" i="3"/>
  <c r="Q24" i="3"/>
  <c r="J23" i="3"/>
  <c r="Q54" i="4" l="1"/>
  <c r="J55" i="4"/>
  <c r="F55" i="4"/>
  <c r="H55" i="4"/>
  <c r="H53" i="4"/>
  <c r="J53" i="4"/>
  <c r="F53" i="4"/>
  <c r="J52" i="4"/>
  <c r="H52" i="4"/>
  <c r="F52" i="4"/>
  <c r="O25" i="3"/>
  <c r="J24" i="3"/>
  <c r="F24" i="3"/>
  <c r="H24" i="3"/>
  <c r="Q25" i="3"/>
  <c r="J54" i="4" l="1"/>
  <c r="I60" i="4" s="1"/>
  <c r="I66" i="4" s="1"/>
  <c r="F54" i="4"/>
  <c r="E60" i="4" s="1"/>
  <c r="E66" i="4" s="1"/>
  <c r="H54" i="4"/>
  <c r="G60" i="4" s="1"/>
  <c r="G66" i="4" s="1"/>
  <c r="F25" i="3"/>
  <c r="E30" i="3" s="1"/>
  <c r="H25" i="3"/>
  <c r="G30" i="3" s="1"/>
  <c r="G35" i="3" s="1"/>
  <c r="J25" i="3"/>
  <c r="I30" i="3" s="1"/>
  <c r="I35" i="3" s="1"/>
  <c r="E67" i="4" l="1"/>
  <c r="E75" i="4"/>
  <c r="K66" i="4"/>
  <c r="L66" i="4" s="1"/>
  <c r="I67" i="4"/>
  <c r="I68" i="4" s="1"/>
  <c r="I69" i="4" s="1"/>
  <c r="I75" i="4"/>
  <c r="G67" i="4"/>
  <c r="G68" i="4" s="1"/>
  <c r="G69" i="4" s="1"/>
  <c r="G75" i="4"/>
  <c r="E44" i="3"/>
  <c r="K35" i="3"/>
  <c r="L35" i="3" s="1"/>
  <c r="M35" i="3" s="1"/>
  <c r="G36" i="3"/>
  <c r="G37" i="3" s="1"/>
  <c r="G38" i="3" s="1"/>
  <c r="G44" i="3"/>
  <c r="I36" i="3"/>
  <c r="I37" i="3" s="1"/>
  <c r="I38" i="3" s="1"/>
  <c r="I44" i="3"/>
  <c r="G82" i="4" l="1"/>
  <c r="G76" i="4"/>
  <c r="I82" i="4"/>
  <c r="I76" i="4"/>
  <c r="L75" i="4"/>
  <c r="O66" i="4"/>
  <c r="O75" i="4" s="1"/>
  <c r="O82" i="4" s="1"/>
  <c r="M66" i="4"/>
  <c r="E82" i="4"/>
  <c r="E76" i="4"/>
  <c r="K75" i="4"/>
  <c r="E68" i="4"/>
  <c r="K67" i="4"/>
  <c r="L67" i="4" s="1"/>
  <c r="K36" i="3"/>
  <c r="L36" i="3" s="1"/>
  <c r="M36" i="3" s="1"/>
  <c r="I45" i="3"/>
  <c r="I51" i="3"/>
  <c r="E45" i="3"/>
  <c r="E51" i="3"/>
  <c r="K44" i="3"/>
  <c r="G51" i="3"/>
  <c r="G45" i="3"/>
  <c r="O35" i="3"/>
  <c r="O44" i="3" s="1"/>
  <c r="L44" i="3"/>
  <c r="P44" i="3" s="1"/>
  <c r="K82" i="4" l="1"/>
  <c r="N75" i="4"/>
  <c r="N82" i="4" s="1"/>
  <c r="P75" i="4"/>
  <c r="P82" i="4" s="1"/>
  <c r="M75" i="4"/>
  <c r="L82" i="4"/>
  <c r="M82" i="4" s="1"/>
  <c r="M67" i="4"/>
  <c r="O67" i="4"/>
  <c r="O76" i="4" s="1"/>
  <c r="O83" i="4" s="1"/>
  <c r="L76" i="4"/>
  <c r="I77" i="4"/>
  <c r="I83" i="4"/>
  <c r="E69" i="4"/>
  <c r="K69" i="4" s="1"/>
  <c r="L69" i="4" s="1"/>
  <c r="K68" i="4"/>
  <c r="L68" i="4" s="1"/>
  <c r="G83" i="4"/>
  <c r="G77" i="4"/>
  <c r="E83" i="4"/>
  <c r="E77" i="4"/>
  <c r="K76" i="4"/>
  <c r="P51" i="3"/>
  <c r="M44" i="3"/>
  <c r="K51" i="3"/>
  <c r="E46" i="3"/>
  <c r="E52" i="3"/>
  <c r="K45" i="3"/>
  <c r="O36" i="3"/>
  <c r="O45" i="3" s="1"/>
  <c r="L45" i="3"/>
  <c r="P45" i="3" s="1"/>
  <c r="G52" i="3"/>
  <c r="G46" i="3"/>
  <c r="K38" i="3"/>
  <c r="L38" i="3" s="1"/>
  <c r="M38" i="3" s="1"/>
  <c r="K37" i="3"/>
  <c r="L37" i="3" s="1"/>
  <c r="M37" i="3" s="1"/>
  <c r="L51" i="3"/>
  <c r="N44" i="3"/>
  <c r="N51" i="3" s="1"/>
  <c r="I46" i="3"/>
  <c r="I52" i="3"/>
  <c r="Q82" i="4" l="1"/>
  <c r="G84" i="4"/>
  <c r="G78" i="4"/>
  <c r="G85" i="4" s="1"/>
  <c r="K83" i="4"/>
  <c r="M68" i="4"/>
  <c r="L77" i="4"/>
  <c r="O68" i="4"/>
  <c r="O77" i="4" s="1"/>
  <c r="M69" i="4"/>
  <c r="L78" i="4"/>
  <c r="O69" i="4"/>
  <c r="O78" i="4" s="1"/>
  <c r="O85" i="4" s="1"/>
  <c r="H82" i="4"/>
  <c r="J82" i="4"/>
  <c r="F82" i="4"/>
  <c r="I84" i="4"/>
  <c r="I78" i="4"/>
  <c r="I85" i="4" s="1"/>
  <c r="E78" i="4"/>
  <c r="E84" i="4"/>
  <c r="K77" i="4"/>
  <c r="L83" i="4"/>
  <c r="M83" i="4" s="1"/>
  <c r="N76" i="4"/>
  <c r="N83" i="4" s="1"/>
  <c r="M76" i="4"/>
  <c r="P76" i="4"/>
  <c r="P83" i="4" s="1"/>
  <c r="Q83" i="4" s="1"/>
  <c r="M45" i="3"/>
  <c r="O51" i="3"/>
  <c r="M51" i="3"/>
  <c r="Q51" i="3"/>
  <c r="H51" i="3" s="1"/>
  <c r="K52" i="3"/>
  <c r="L52" i="3"/>
  <c r="N45" i="3"/>
  <c r="N52" i="3" s="1"/>
  <c r="P52" i="3"/>
  <c r="O38" i="3"/>
  <c r="O47" i="3" s="1"/>
  <c r="L47" i="3"/>
  <c r="P47" i="3" s="1"/>
  <c r="I47" i="3"/>
  <c r="I54" i="3" s="1"/>
  <c r="I53" i="3"/>
  <c r="O37" i="3"/>
  <c r="O46" i="3" s="1"/>
  <c r="L46" i="3"/>
  <c r="P46" i="3" s="1"/>
  <c r="E47" i="3"/>
  <c r="E53" i="3"/>
  <c r="K46" i="3"/>
  <c r="G47" i="3"/>
  <c r="G54" i="3" s="1"/>
  <c r="G53" i="3"/>
  <c r="K84" i="4" l="1"/>
  <c r="H83" i="4"/>
  <c r="F83" i="4"/>
  <c r="J83" i="4"/>
  <c r="O71" i="4"/>
  <c r="O84" i="4"/>
  <c r="L85" i="4"/>
  <c r="M85" i="4" s="1"/>
  <c r="N78" i="4"/>
  <c r="N85" i="4" s="1"/>
  <c r="P78" i="4"/>
  <c r="P85" i="4" s="1"/>
  <c r="M78" i="4"/>
  <c r="E85" i="4"/>
  <c r="K85" i="4" s="1"/>
  <c r="K78" i="4"/>
  <c r="P77" i="4"/>
  <c r="P84" i="4" s="1"/>
  <c r="M77" i="4"/>
  <c r="N77" i="4"/>
  <c r="N84" i="4" s="1"/>
  <c r="L84" i="4"/>
  <c r="M84" i="4" s="1"/>
  <c r="P53" i="3"/>
  <c r="M46" i="3"/>
  <c r="O52" i="3"/>
  <c r="M52" i="3"/>
  <c r="P54" i="3"/>
  <c r="M47" i="3"/>
  <c r="F51" i="3"/>
  <c r="J51" i="3"/>
  <c r="O40" i="3"/>
  <c r="K53" i="3"/>
  <c r="L54" i="3"/>
  <c r="N47" i="3"/>
  <c r="N54" i="3" s="1"/>
  <c r="L53" i="3"/>
  <c r="N46" i="3"/>
  <c r="N53" i="3" s="1"/>
  <c r="E54" i="3"/>
  <c r="K54" i="3" s="1"/>
  <c r="K47" i="3"/>
  <c r="Q52" i="3"/>
  <c r="Q85" i="4" l="1"/>
  <c r="F85" i="4"/>
  <c r="H85" i="4"/>
  <c r="J85" i="4"/>
  <c r="Q84" i="4"/>
  <c r="O53" i="3"/>
  <c r="M53" i="3"/>
  <c r="O54" i="3"/>
  <c r="M54" i="3"/>
  <c r="H52" i="3"/>
  <c r="J52" i="3"/>
  <c r="F52" i="3"/>
  <c r="Q53" i="3"/>
  <c r="Q54" i="3"/>
  <c r="F84" i="4" l="1"/>
  <c r="E90" i="4" s="1"/>
  <c r="E96" i="4" s="1"/>
  <c r="J84" i="4"/>
  <c r="I90" i="4" s="1"/>
  <c r="I96" i="4" s="1"/>
  <c r="H84" i="4"/>
  <c r="G90" i="4" s="1"/>
  <c r="G96" i="4" s="1"/>
  <c r="F53" i="3"/>
  <c r="J53" i="3"/>
  <c r="H53" i="3"/>
  <c r="J54" i="3"/>
  <c r="H54" i="3"/>
  <c r="F54" i="3"/>
  <c r="I97" i="4" l="1"/>
  <c r="I98" i="4" s="1"/>
  <c r="I99" i="4" s="1"/>
  <c r="I105" i="4"/>
  <c r="G97" i="4"/>
  <c r="G98" i="4" s="1"/>
  <c r="G99" i="4" s="1"/>
  <c r="G105" i="4"/>
  <c r="E97" i="4"/>
  <c r="K96" i="4"/>
  <c r="L96" i="4" s="1"/>
  <c r="E105" i="4"/>
  <c r="I59" i="3"/>
  <c r="I64" i="3" s="1"/>
  <c r="G59" i="3"/>
  <c r="G64" i="3" s="1"/>
  <c r="E59" i="3"/>
  <c r="E64" i="3" s="1"/>
  <c r="E112" i="4" l="1"/>
  <c r="E106" i="4"/>
  <c r="K105" i="4"/>
  <c r="M96" i="4"/>
  <c r="L105" i="4"/>
  <c r="O96" i="4"/>
  <c r="O105" i="4" s="1"/>
  <c r="O112" i="4" s="1"/>
  <c r="K97" i="4"/>
  <c r="L97" i="4" s="1"/>
  <c r="E98" i="4"/>
  <c r="G112" i="4"/>
  <c r="G106" i="4"/>
  <c r="I106" i="4"/>
  <c r="I112" i="4"/>
  <c r="E73" i="3"/>
  <c r="E65" i="3"/>
  <c r="K64" i="3"/>
  <c r="L64" i="3" s="1"/>
  <c r="M64" i="3" s="1"/>
  <c r="G73" i="3"/>
  <c r="G65" i="3"/>
  <c r="G66" i="3" s="1"/>
  <c r="G67" i="3" s="1"/>
  <c r="I73" i="3"/>
  <c r="I65" i="3"/>
  <c r="I66" i="3" s="1"/>
  <c r="I67" i="3" s="1"/>
  <c r="E99" i="4" l="1"/>
  <c r="K99" i="4" s="1"/>
  <c r="L99" i="4" s="1"/>
  <c r="K98" i="4"/>
  <c r="L98" i="4" s="1"/>
  <c r="L106" i="4"/>
  <c r="O97" i="4"/>
  <c r="O106" i="4" s="1"/>
  <c r="O113" i="4" s="1"/>
  <c r="M97" i="4"/>
  <c r="I107" i="4"/>
  <c r="I113" i="4"/>
  <c r="G107" i="4"/>
  <c r="G113" i="4"/>
  <c r="E107" i="4"/>
  <c r="K106" i="4"/>
  <c r="E113" i="4"/>
  <c r="N105" i="4"/>
  <c r="N112" i="4" s="1"/>
  <c r="L112" i="4"/>
  <c r="M112" i="4" s="1"/>
  <c r="M105" i="4"/>
  <c r="P105" i="4"/>
  <c r="P112" i="4" s="1"/>
  <c r="K112" i="4"/>
  <c r="I80" i="3"/>
  <c r="I74" i="3"/>
  <c r="G74" i="3"/>
  <c r="G80" i="3"/>
  <c r="L73" i="3"/>
  <c r="O64" i="3"/>
  <c r="O73" i="3" s="1"/>
  <c r="E66" i="3"/>
  <c r="K65" i="3"/>
  <c r="L65" i="3" s="1"/>
  <c r="M65" i="3" s="1"/>
  <c r="E74" i="3"/>
  <c r="E80" i="3"/>
  <c r="K73" i="3"/>
  <c r="I114" i="4" l="1"/>
  <c r="I108" i="4"/>
  <c r="I115" i="4" s="1"/>
  <c r="K113" i="4"/>
  <c r="E114" i="4"/>
  <c r="E108" i="4"/>
  <c r="K107" i="4"/>
  <c r="N106" i="4"/>
  <c r="N113" i="4" s="1"/>
  <c r="M106" i="4"/>
  <c r="P106" i="4"/>
  <c r="P113" i="4" s="1"/>
  <c r="L113" i="4"/>
  <c r="M113" i="4" s="1"/>
  <c r="L107" i="4"/>
  <c r="O98" i="4"/>
  <c r="O107" i="4" s="1"/>
  <c r="M98" i="4"/>
  <c r="Q112" i="4"/>
  <c r="G114" i="4"/>
  <c r="G108" i="4"/>
  <c r="G115" i="4" s="1"/>
  <c r="O99" i="4"/>
  <c r="O108" i="4" s="1"/>
  <c r="O115" i="4" s="1"/>
  <c r="L108" i="4"/>
  <c r="M99" i="4"/>
  <c r="M73" i="3"/>
  <c r="P73" i="3"/>
  <c r="P80" i="3" s="1"/>
  <c r="K80" i="3"/>
  <c r="E67" i="3"/>
  <c r="K67" i="3" s="1"/>
  <c r="L67" i="3" s="1"/>
  <c r="M67" i="3" s="1"/>
  <c r="K66" i="3"/>
  <c r="L66" i="3" s="1"/>
  <c r="M66" i="3" s="1"/>
  <c r="N73" i="3"/>
  <c r="N80" i="3" s="1"/>
  <c r="L80" i="3"/>
  <c r="G75" i="3"/>
  <c r="G81" i="3"/>
  <c r="E81" i="3"/>
  <c r="E75" i="3"/>
  <c r="K74" i="3"/>
  <c r="I75" i="3"/>
  <c r="I81" i="3"/>
  <c r="L74" i="3"/>
  <c r="O65" i="3"/>
  <c r="O74" i="3" s="1"/>
  <c r="K108" i="4" l="1"/>
  <c r="E115" i="4"/>
  <c r="K115" i="4" s="1"/>
  <c r="K114" i="4"/>
  <c r="J112" i="4"/>
  <c r="H112" i="4"/>
  <c r="F112" i="4"/>
  <c r="O101" i="4"/>
  <c r="O114" i="4"/>
  <c r="L114" i="4"/>
  <c r="M114" i="4" s="1"/>
  <c r="P107" i="4"/>
  <c r="P114" i="4" s="1"/>
  <c r="N107" i="4"/>
  <c r="N114" i="4" s="1"/>
  <c r="M107" i="4"/>
  <c r="L115" i="4"/>
  <c r="M115" i="4" s="1"/>
  <c r="P108" i="4"/>
  <c r="P115" i="4" s="1"/>
  <c r="N108" i="4"/>
  <c r="N115" i="4" s="1"/>
  <c r="M108" i="4"/>
  <c r="Q113" i="4"/>
  <c r="M74" i="3"/>
  <c r="P74" i="3"/>
  <c r="P81" i="3" s="1"/>
  <c r="O80" i="3"/>
  <c r="M80" i="3"/>
  <c r="Q80" i="3"/>
  <c r="F80" i="3" s="1"/>
  <c r="K75" i="3"/>
  <c r="G82" i="3"/>
  <c r="G76" i="3"/>
  <c r="G83" i="3" s="1"/>
  <c r="N74" i="3"/>
  <c r="N81" i="3" s="1"/>
  <c r="L81" i="3"/>
  <c r="I76" i="3"/>
  <c r="I83" i="3" s="1"/>
  <c r="I82" i="3"/>
  <c r="O67" i="3"/>
  <c r="O76" i="3" s="1"/>
  <c r="L76" i="3"/>
  <c r="E76" i="3"/>
  <c r="E82" i="3"/>
  <c r="L75" i="3"/>
  <c r="O66" i="3"/>
  <c r="O75" i="3" s="1"/>
  <c r="K81" i="3"/>
  <c r="Q114" i="4" l="1"/>
  <c r="Q115" i="4"/>
  <c r="H113" i="4"/>
  <c r="F113" i="4"/>
  <c r="J113" i="4"/>
  <c r="M76" i="3"/>
  <c r="P76" i="3"/>
  <c r="P83" i="3" s="1"/>
  <c r="M75" i="3"/>
  <c r="P75" i="3"/>
  <c r="P82" i="3" s="1"/>
  <c r="O81" i="3"/>
  <c r="M81" i="3"/>
  <c r="O69" i="3"/>
  <c r="H80" i="3"/>
  <c r="J80" i="3"/>
  <c r="Q81" i="3"/>
  <c r="J81" i="3" s="1"/>
  <c r="K82" i="3"/>
  <c r="K76" i="3"/>
  <c r="E83" i="3"/>
  <c r="K83" i="3" s="1"/>
  <c r="N76" i="3"/>
  <c r="N83" i="3" s="1"/>
  <c r="L83" i="3"/>
  <c r="N75" i="3"/>
  <c r="N82" i="3" s="1"/>
  <c r="L82" i="3"/>
  <c r="H114" i="4" l="1"/>
  <c r="F114" i="4"/>
  <c r="J114" i="4"/>
  <c r="J115" i="4"/>
  <c r="H115" i="4"/>
  <c r="F115" i="4"/>
  <c r="O82" i="3"/>
  <c r="M82" i="3"/>
  <c r="O83" i="3"/>
  <c r="M83" i="3"/>
  <c r="F81" i="3"/>
  <c r="H81" i="3"/>
  <c r="Q82" i="3"/>
  <c r="H82" i="3" s="1"/>
  <c r="Q83" i="3"/>
  <c r="I120" i="4" l="1"/>
  <c r="I126" i="4" s="1"/>
  <c r="G120" i="4"/>
  <c r="G126" i="4" s="1"/>
  <c r="G127" i="4" s="1"/>
  <c r="G128" i="4" s="1"/>
  <c r="G129" i="4" s="1"/>
  <c r="I127" i="4"/>
  <c r="I128" i="4" s="1"/>
  <c r="I129" i="4" s="1"/>
  <c r="I135" i="4"/>
  <c r="E120" i="4"/>
  <c r="E126" i="4" s="1"/>
  <c r="F82" i="3"/>
  <c r="J82" i="3"/>
  <c r="J83" i="3"/>
  <c r="F83" i="3"/>
  <c r="H83" i="3"/>
  <c r="G88" i="3" s="1"/>
  <c r="G93" i="3" s="1"/>
  <c r="G135" i="4" l="1"/>
  <c r="G142" i="4"/>
  <c r="G136" i="4"/>
  <c r="I142" i="4"/>
  <c r="I136" i="4"/>
  <c r="E127" i="4"/>
  <c r="E135" i="4"/>
  <c r="K126" i="4"/>
  <c r="L126" i="4" s="1"/>
  <c r="E88" i="3"/>
  <c r="E93" i="3" s="1"/>
  <c r="E94" i="3" s="1"/>
  <c r="I88" i="3"/>
  <c r="I93" i="3" s="1"/>
  <c r="G102" i="3"/>
  <c r="G94" i="3"/>
  <c r="G95" i="3" s="1"/>
  <c r="G96" i="3" s="1"/>
  <c r="E136" i="4" l="1"/>
  <c r="K135" i="4"/>
  <c r="E142" i="4"/>
  <c r="K142" i="4" s="1"/>
  <c r="G137" i="4"/>
  <c r="G143" i="4"/>
  <c r="L135" i="4"/>
  <c r="O126" i="4"/>
  <c r="O135" i="4" s="1"/>
  <c r="M126" i="4"/>
  <c r="E128" i="4"/>
  <c r="K127" i="4"/>
  <c r="L127" i="4" s="1"/>
  <c r="I137" i="4"/>
  <c r="I143" i="4"/>
  <c r="E102" i="3"/>
  <c r="K93" i="3"/>
  <c r="L93" i="3" s="1"/>
  <c r="M93" i="3" s="1"/>
  <c r="I94" i="3"/>
  <c r="I95" i="3" s="1"/>
  <c r="I96" i="3" s="1"/>
  <c r="I102" i="3"/>
  <c r="I103" i="3" s="1"/>
  <c r="E95" i="3"/>
  <c r="L102" i="3"/>
  <c r="E109" i="3"/>
  <c r="E103" i="3"/>
  <c r="G109" i="3"/>
  <c r="G103" i="3"/>
  <c r="O142" i="4" l="1"/>
  <c r="I144" i="4"/>
  <c r="I138" i="4"/>
  <c r="I145" i="4" s="1"/>
  <c r="G144" i="4"/>
  <c r="G138" i="4"/>
  <c r="G145" i="4" s="1"/>
  <c r="P135" i="4"/>
  <c r="P142" i="4" s="1"/>
  <c r="L142" i="4"/>
  <c r="M142" i="4" s="1"/>
  <c r="M135" i="4"/>
  <c r="N135" i="4"/>
  <c r="N142" i="4" s="1"/>
  <c r="L136" i="4"/>
  <c r="M127" i="4"/>
  <c r="O127" i="4"/>
  <c r="O136" i="4" s="1"/>
  <c r="O143" i="4" s="1"/>
  <c r="K128" i="4"/>
  <c r="L128" i="4" s="1"/>
  <c r="E129" i="4"/>
  <c r="K129" i="4" s="1"/>
  <c r="L129" i="4" s="1"/>
  <c r="E143" i="4"/>
  <c r="K143" i="4" s="1"/>
  <c r="E137" i="4"/>
  <c r="K136" i="4"/>
  <c r="O93" i="3"/>
  <c r="O102" i="3" s="1"/>
  <c r="K102" i="3"/>
  <c r="K94" i="3"/>
  <c r="L94" i="3" s="1"/>
  <c r="M94" i="3" s="1"/>
  <c r="I109" i="3"/>
  <c r="K109" i="3" s="1"/>
  <c r="M102" i="3"/>
  <c r="P102" i="3"/>
  <c r="G110" i="3"/>
  <c r="G104" i="3"/>
  <c r="I110" i="3"/>
  <c r="I104" i="3"/>
  <c r="E104" i="3"/>
  <c r="E110" i="3"/>
  <c r="K103" i="3"/>
  <c r="L109" i="3"/>
  <c r="N102" i="3"/>
  <c r="N109" i="3" s="1"/>
  <c r="P109" i="3"/>
  <c r="E96" i="3"/>
  <c r="K96" i="3" s="1"/>
  <c r="L96" i="3" s="1"/>
  <c r="M96" i="3" s="1"/>
  <c r="K95" i="3"/>
  <c r="L95" i="3" s="1"/>
  <c r="M95" i="3" s="1"/>
  <c r="Q142" i="4" l="1"/>
  <c r="F142" i="4" s="1"/>
  <c r="L138" i="4"/>
  <c r="M129" i="4"/>
  <c r="O129" i="4"/>
  <c r="O138" i="4" s="1"/>
  <c r="O145" i="4" s="1"/>
  <c r="N136" i="4"/>
  <c r="N143" i="4" s="1"/>
  <c r="M136" i="4"/>
  <c r="L143" i="4"/>
  <c r="M143" i="4" s="1"/>
  <c r="P136" i="4"/>
  <c r="P143" i="4" s="1"/>
  <c r="L137" i="4"/>
  <c r="O128" i="4"/>
  <c r="O137" i="4" s="1"/>
  <c r="O144" i="4" s="1"/>
  <c r="M128" i="4"/>
  <c r="E144" i="4"/>
  <c r="K144" i="4" s="1"/>
  <c r="E138" i="4"/>
  <c r="K137" i="4"/>
  <c r="L103" i="3"/>
  <c r="O94" i="3"/>
  <c r="O103" i="3" s="1"/>
  <c r="M103" i="3"/>
  <c r="P103" i="3"/>
  <c r="O109" i="3"/>
  <c r="M109" i="3"/>
  <c r="K110" i="3"/>
  <c r="Q109" i="3"/>
  <c r="H109" i="3" s="1"/>
  <c r="L105" i="3"/>
  <c r="O96" i="3"/>
  <c r="O105" i="3" s="1"/>
  <c r="I111" i="3"/>
  <c r="I105" i="3"/>
  <c r="I112" i="3" s="1"/>
  <c r="L104" i="3"/>
  <c r="O95" i="3"/>
  <c r="O104" i="3" s="1"/>
  <c r="E105" i="3"/>
  <c r="E111" i="3"/>
  <c r="K104" i="3"/>
  <c r="N103" i="3"/>
  <c r="N110" i="3" s="1"/>
  <c r="L110" i="3"/>
  <c r="P110" i="3"/>
  <c r="G105" i="3"/>
  <c r="G112" i="3" s="1"/>
  <c r="G111" i="3"/>
  <c r="J142" i="4" l="1"/>
  <c r="H142" i="4"/>
  <c r="O131" i="4"/>
  <c r="L144" i="4"/>
  <c r="M144" i="4" s="1"/>
  <c r="M137" i="4"/>
  <c r="N137" i="4"/>
  <c r="N144" i="4" s="1"/>
  <c r="P137" i="4"/>
  <c r="P144" i="4" s="1"/>
  <c r="Q144" i="4" s="1"/>
  <c r="Q143" i="4"/>
  <c r="E145" i="4"/>
  <c r="K145" i="4" s="1"/>
  <c r="K138" i="4"/>
  <c r="L145" i="4"/>
  <c r="M145" i="4" s="1"/>
  <c r="P138" i="4"/>
  <c r="P145" i="4" s="1"/>
  <c r="M138" i="4"/>
  <c r="N138" i="4"/>
  <c r="N145" i="4" s="1"/>
  <c r="M105" i="3"/>
  <c r="P105" i="3"/>
  <c r="M104" i="3"/>
  <c r="P104" i="3"/>
  <c r="P111" i="3" s="1"/>
  <c r="F109" i="3"/>
  <c r="O110" i="3"/>
  <c r="M110" i="3"/>
  <c r="J109" i="3"/>
  <c r="O98" i="3"/>
  <c r="Q110" i="3"/>
  <c r="F110" i="3" s="1"/>
  <c r="L112" i="3"/>
  <c r="P112" i="3"/>
  <c r="N105" i="3"/>
  <c r="N112" i="3" s="1"/>
  <c r="E112" i="3"/>
  <c r="K112" i="3" s="1"/>
  <c r="K105" i="3"/>
  <c r="N104" i="3"/>
  <c r="N111" i="3" s="1"/>
  <c r="L111" i="3"/>
  <c r="K111" i="3"/>
  <c r="Q145" i="4" l="1"/>
  <c r="H144" i="4"/>
  <c r="F144" i="4"/>
  <c r="J144" i="4"/>
  <c r="F145" i="4"/>
  <c r="H145" i="4"/>
  <c r="J145" i="4"/>
  <c r="I150" i="4" s="1"/>
  <c r="H143" i="4"/>
  <c r="F143" i="4"/>
  <c r="J143" i="4"/>
  <c r="O112" i="3"/>
  <c r="M112" i="3"/>
  <c r="O111" i="3"/>
  <c r="M111" i="3"/>
  <c r="H110" i="3"/>
  <c r="J110" i="3"/>
  <c r="Q111" i="3"/>
  <c r="H111" i="3" s="1"/>
  <c r="Q112" i="3"/>
  <c r="E150" i="4" l="1"/>
  <c r="G150" i="4"/>
  <c r="J111" i="3"/>
  <c r="F111" i="3"/>
  <c r="H112" i="3"/>
  <c r="F112" i="3"/>
  <c r="J112" i="3"/>
  <c r="G117" i="3"/>
  <c r="G122" i="3" s="1"/>
  <c r="E117" i="3" l="1"/>
  <c r="E122" i="3" s="1"/>
  <c r="E131" i="3" s="1"/>
  <c r="G131" i="3"/>
  <c r="G123" i="3"/>
  <c r="G124" i="3" s="1"/>
  <c r="G125" i="3" s="1"/>
  <c r="I117" i="3"/>
  <c r="I122" i="3" s="1"/>
  <c r="E123" i="3" l="1"/>
  <c r="E124" i="3" s="1"/>
  <c r="I131" i="3"/>
  <c r="K131" i="3" s="1"/>
  <c r="I123" i="3"/>
  <c r="I124" i="3" s="1"/>
  <c r="I125" i="3" s="1"/>
  <c r="K122" i="3"/>
  <c r="L122" i="3" s="1"/>
  <c r="M122" i="3" s="1"/>
  <c r="E132" i="3"/>
  <c r="E140" i="3"/>
  <c r="G140" i="3"/>
  <c r="G132" i="3"/>
  <c r="K123" i="3" l="1"/>
  <c r="L123" i="3" s="1"/>
  <c r="E133" i="3"/>
  <c r="E141" i="3"/>
  <c r="L131" i="3"/>
  <c r="O122" i="3"/>
  <c r="O131" i="3" s="1"/>
  <c r="E125" i="3"/>
  <c r="K125" i="3" s="1"/>
  <c r="L125" i="3" s="1"/>
  <c r="M125" i="3" s="1"/>
  <c r="K124" i="3"/>
  <c r="L124" i="3" s="1"/>
  <c r="M124" i="3" s="1"/>
  <c r="G141" i="3"/>
  <c r="G133" i="3"/>
  <c r="I132" i="3"/>
  <c r="K132" i="3" s="1"/>
  <c r="I140" i="3"/>
  <c r="K140" i="3" s="1"/>
  <c r="M131" i="3" l="1"/>
  <c r="P131" i="3"/>
  <c r="P140" i="3" s="1"/>
  <c r="O123" i="3"/>
  <c r="O132" i="3" s="1"/>
  <c r="M123" i="3"/>
  <c r="L132" i="3"/>
  <c r="I141" i="3"/>
  <c r="K141" i="3" s="1"/>
  <c r="I133" i="3"/>
  <c r="K133" i="3" s="1"/>
  <c r="L140" i="3"/>
  <c r="N131" i="3"/>
  <c r="N140" i="3" s="1"/>
  <c r="G134" i="3"/>
  <c r="G143" i="3" s="1"/>
  <c r="G142" i="3"/>
  <c r="O124" i="3"/>
  <c r="O133" i="3" s="1"/>
  <c r="L133" i="3"/>
  <c r="M133" i="3" s="1"/>
  <c r="E134" i="3"/>
  <c r="E142" i="3"/>
  <c r="O125" i="3"/>
  <c r="O134" i="3" s="1"/>
  <c r="L134" i="3"/>
  <c r="M134" i="3" s="1"/>
  <c r="O140" i="3" l="1"/>
  <c r="M140" i="3"/>
  <c r="P132" i="3"/>
  <c r="P141" i="3" s="1"/>
  <c r="M132" i="3"/>
  <c r="L141" i="3"/>
  <c r="N132" i="3"/>
  <c r="N141" i="3" s="1"/>
  <c r="O127" i="3"/>
  <c r="P134" i="3"/>
  <c r="P143" i="3" s="1"/>
  <c r="L143" i="3"/>
  <c r="N134" i="3"/>
  <c r="N143" i="3" s="1"/>
  <c r="E143" i="3"/>
  <c r="I134" i="3"/>
  <c r="I143" i="3" s="1"/>
  <c r="I142" i="3"/>
  <c r="K142" i="3" s="1"/>
  <c r="N133" i="3"/>
  <c r="N142" i="3" s="1"/>
  <c r="P133" i="3"/>
  <c r="P142" i="3" s="1"/>
  <c r="L142" i="3"/>
  <c r="Q140" i="3"/>
  <c r="Q141" i="3" l="1"/>
  <c r="J141" i="3" s="1"/>
  <c r="O142" i="3"/>
  <c r="M142" i="3"/>
  <c r="O141" i="3"/>
  <c r="M141" i="3"/>
  <c r="O143" i="3"/>
  <c r="M143" i="3"/>
  <c r="K143" i="3"/>
  <c r="K134" i="3"/>
  <c r="J140" i="3"/>
  <c r="H140" i="3"/>
  <c r="F140" i="3"/>
  <c r="Q142" i="3"/>
  <c r="Q143" i="3"/>
  <c r="H141" i="3" l="1"/>
  <c r="F141" i="3"/>
  <c r="H143" i="3"/>
  <c r="J143" i="3"/>
  <c r="F143" i="3"/>
  <c r="J142" i="3"/>
  <c r="I148" i="3" s="1"/>
  <c r="I153" i="3" s="1"/>
  <c r="H142" i="3"/>
  <c r="F142" i="3"/>
  <c r="E148" i="3" s="1"/>
  <c r="E153" i="3" s="1"/>
  <c r="G148" i="3" l="1"/>
  <c r="G153" i="3" s="1"/>
  <c r="G162" i="3" s="1"/>
  <c r="E162" i="3"/>
  <c r="E154" i="3"/>
  <c r="I154" i="3"/>
  <c r="I155" i="3" s="1"/>
  <c r="I156" i="3" s="1"/>
  <c r="I162" i="3"/>
  <c r="K153" i="3" l="1"/>
  <c r="L153" i="3" s="1"/>
  <c r="M153" i="3" s="1"/>
  <c r="G154" i="3"/>
  <c r="G155" i="3" s="1"/>
  <c r="G156" i="3" s="1"/>
  <c r="I163" i="3"/>
  <c r="I171" i="3"/>
  <c r="G163" i="3"/>
  <c r="G171" i="3"/>
  <c r="E155" i="3"/>
  <c r="K154" i="3"/>
  <c r="L154" i="3" s="1"/>
  <c r="M154" i="3" s="1"/>
  <c r="E171" i="3"/>
  <c r="E163" i="3"/>
  <c r="K162" i="3"/>
  <c r="L162" i="3" l="1"/>
  <c r="O153" i="3"/>
  <c r="O162" i="3" s="1"/>
  <c r="G164" i="3"/>
  <c r="G172" i="3"/>
  <c r="E156" i="3"/>
  <c r="K156" i="3" s="1"/>
  <c r="L156" i="3" s="1"/>
  <c r="M156" i="3" s="1"/>
  <c r="K155" i="3"/>
  <c r="L155" i="3" s="1"/>
  <c r="M155" i="3" s="1"/>
  <c r="E164" i="3"/>
  <c r="K163" i="3"/>
  <c r="E172" i="3"/>
  <c r="K171" i="3"/>
  <c r="L163" i="3"/>
  <c r="O154" i="3"/>
  <c r="O163" i="3" s="1"/>
  <c r="I172" i="3"/>
  <c r="I164" i="3"/>
  <c r="M163" i="3" l="1"/>
  <c r="P163" i="3"/>
  <c r="P172" i="3" s="1"/>
  <c r="M162" i="3"/>
  <c r="P162" i="3"/>
  <c r="K172" i="3"/>
  <c r="N162" i="3"/>
  <c r="N171" i="3" s="1"/>
  <c r="L171" i="3"/>
  <c r="M171" i="3" s="1"/>
  <c r="P171" i="3"/>
  <c r="K164" i="3"/>
  <c r="I165" i="3"/>
  <c r="I174" i="3" s="1"/>
  <c r="I173" i="3"/>
  <c r="E173" i="3"/>
  <c r="E165" i="3"/>
  <c r="L165" i="3"/>
  <c r="O156" i="3"/>
  <c r="O165" i="3" s="1"/>
  <c r="N163" i="3"/>
  <c r="N172" i="3" s="1"/>
  <c r="L172" i="3"/>
  <c r="L164" i="3"/>
  <c r="O155" i="3"/>
  <c r="O164" i="3" s="1"/>
  <c r="G165" i="3"/>
  <c r="G174" i="3" s="1"/>
  <c r="G173" i="3"/>
  <c r="Q171" i="3" l="1"/>
  <c r="J171" i="3" s="1"/>
  <c r="O171" i="3"/>
  <c r="M165" i="3"/>
  <c r="P165" i="3"/>
  <c r="P174" i="3" s="1"/>
  <c r="M164" i="3"/>
  <c r="P164" i="3"/>
  <c r="P173" i="3" s="1"/>
  <c r="O172" i="3"/>
  <c r="M172" i="3"/>
  <c r="L174" i="3"/>
  <c r="N165" i="3"/>
  <c r="N174" i="3" s="1"/>
  <c r="E174" i="3"/>
  <c r="K174" i="3" s="1"/>
  <c r="K165" i="3"/>
  <c r="Q172" i="3"/>
  <c r="O158" i="3"/>
  <c r="K173" i="3"/>
  <c r="N164" i="3"/>
  <c r="N173" i="3" s="1"/>
  <c r="L173" i="3"/>
  <c r="F171" i="3" l="1"/>
  <c r="H171" i="3"/>
  <c r="Q174" i="3"/>
  <c r="F174" i="3" s="1"/>
  <c r="O173" i="3"/>
  <c r="M173" i="3"/>
  <c r="O174" i="3"/>
  <c r="M174" i="3"/>
  <c r="Q173" i="3"/>
  <c r="F172" i="3"/>
  <c r="J172" i="3"/>
  <c r="H172" i="3"/>
  <c r="H174" i="3" l="1"/>
  <c r="J174" i="3"/>
  <c r="F173" i="3"/>
  <c r="E179" i="3" s="1"/>
  <c r="J173" i="3"/>
  <c r="I179" i="3" s="1"/>
  <c r="H173" i="3"/>
  <c r="G179" i="3" l="1"/>
</calcChain>
</file>

<file path=xl/sharedStrings.xml><?xml version="1.0" encoding="utf-8"?>
<sst xmlns="http://schemas.openxmlformats.org/spreadsheetml/2006/main" count="651" uniqueCount="31">
  <si>
    <t>a</t>
  </si>
  <si>
    <t>y</t>
  </si>
  <si>
    <t>x1</t>
  </si>
  <si>
    <t>x2</t>
  </si>
  <si>
    <t>z</t>
  </si>
  <si>
    <t>w1</t>
  </si>
  <si>
    <t>w2</t>
  </si>
  <si>
    <t>b</t>
  </si>
  <si>
    <t>Epoca</t>
  </si>
  <si>
    <t>FORWARD</t>
  </si>
  <si>
    <t>a'</t>
  </si>
  <si>
    <r>
      <t>d</t>
    </r>
    <r>
      <rPr>
        <b/>
        <vertAlign val="superscript"/>
        <sz val="11"/>
        <color theme="1"/>
        <rFont val="Source Code Pro ExtraLight"/>
        <family val="3"/>
      </rPr>
      <t>L</t>
    </r>
  </si>
  <si>
    <t>BACK. Cálculo del Gradiente de la función de error</t>
  </si>
  <si>
    <t>Promedio</t>
  </si>
  <si>
    <t>Actualización de pesos</t>
  </si>
  <si>
    <t>Pred</t>
  </si>
  <si>
    <t xml:space="preserve"> </t>
  </si>
  <si>
    <t>η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</si>
  <si>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w1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</si>
  <si>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w2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</si>
  <si>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b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</si>
  <si>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a</t>
    </r>
  </si>
  <si>
    <r>
      <rPr>
        <b/>
        <sz val="11"/>
        <color theme="1"/>
        <rFont val="Lucida Calligraphy"/>
        <family val="4"/>
      </rPr>
      <t>L</t>
    </r>
    <r>
      <rPr>
        <b/>
        <sz val="11"/>
        <color theme="1"/>
        <rFont val="Times New Roman"/>
        <family val="1"/>
      </rPr>
      <t xml:space="preserve"> (Cross-entropy)</t>
    </r>
  </si>
  <si>
    <r>
      <rPr>
        <b/>
        <sz val="11"/>
        <color theme="1"/>
        <rFont val="Symbol"/>
        <family val="1"/>
        <charset val="2"/>
      </rPr>
      <t>s</t>
    </r>
    <r>
      <rPr>
        <b/>
        <sz val="11"/>
        <color theme="1"/>
        <rFont val="Times New Roman"/>
        <family val="1"/>
      </rPr>
      <t>(a)</t>
    </r>
  </si>
  <si>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Lucida Calligraphy"/>
        <family val="4"/>
      </rPr>
      <t>L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Times New Roman"/>
        <family val="1"/>
      </rPr>
      <t>w1</t>
    </r>
  </si>
  <si>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Lucida Calligraphy"/>
        <family val="4"/>
      </rPr>
      <t>L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Times New Roman"/>
        <family val="1"/>
      </rPr>
      <t>w2</t>
    </r>
  </si>
  <si>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Lucida Calligraphy"/>
        <family val="4"/>
      </rPr>
      <t>L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Times New Roman"/>
        <family val="1"/>
      </rPr>
      <t>b</t>
    </r>
  </si>
  <si>
    <r>
      <rPr>
        <b/>
        <sz val="14"/>
        <color theme="1"/>
        <rFont val="Symbol"/>
        <family val="1"/>
        <charset val="2"/>
      </rPr>
      <t>s</t>
    </r>
    <r>
      <rPr>
        <b/>
        <sz val="14"/>
        <color theme="1"/>
        <rFont val="Times New Roman"/>
        <family val="1"/>
      </rPr>
      <t>(a)</t>
    </r>
  </si>
  <si>
    <r>
      <rPr>
        <b/>
        <sz val="14"/>
        <color theme="1"/>
        <rFont val="Lucida Calligraphy"/>
        <family val="4"/>
      </rPr>
      <t>L</t>
    </r>
    <r>
      <rPr>
        <b/>
        <sz val="14"/>
        <color theme="1"/>
        <rFont val="Times New Roman"/>
        <family val="1"/>
      </rPr>
      <t xml:space="preserve"> (MSE)</t>
    </r>
  </si>
  <si>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Lucida Calligraphy"/>
        <family val="4"/>
      </rPr>
      <t>L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Symbol"/>
        <family val="1"/>
        <charset val="2"/>
      </rPr>
      <t>d</t>
    </r>
    <r>
      <rPr>
        <b/>
        <sz val="14"/>
        <color theme="1"/>
        <rFont val="Times New Roman"/>
        <family val="1"/>
      </rPr>
      <t>a</t>
    </r>
  </si>
  <si>
    <r>
      <t>d</t>
    </r>
    <r>
      <rPr>
        <b/>
        <vertAlign val="superscript"/>
        <sz val="14"/>
        <color theme="1"/>
        <rFont val="Source Code Pro ExtraLight"/>
        <family val="3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</si>
</sst>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Symbol"/>
      <family val="1"/>
      <charset val="2"/>
    </font>
    <font>
      <b/>
      <sz val="11"/>
      <color theme="1"/>
      <name val="Times New Roman"/>
      <family val="1"/>
      <charset val="2"/>
    </font>
    <font>
      <b/>
      <vertAlign val="superscript"/>
      <sz val="11"/>
      <color theme="1"/>
      <name val="Source Code Pro ExtraLight"/>
      <family val="3"/>
    </font>
    <font>
      <b/>
      <sz val="11"/>
      <color theme="1"/>
      <name val="Lucida Calligraphy"/>
      <family val="4"/>
    </font>
    <font>
      <b/>
      <sz val="11"/>
      <color theme="1"/>
      <name val="Times New Roman"/>
      <family val="4"/>
    </font>
    <font>
      <sz val="14"/>
      <color theme="1"/>
      <name val="Aptos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2"/>
    </font>
    <font>
      <b/>
      <sz val="14"/>
      <color theme="1"/>
      <name val="Symbol"/>
      <family val="1"/>
      <charset val="2"/>
    </font>
    <font>
      <b/>
      <sz val="14"/>
      <color theme="1"/>
      <name val="Lucida Calligraphy"/>
      <family val="4"/>
    </font>
    <font>
      <b/>
      <sz val="14"/>
      <color theme="1"/>
      <name val="Times New Roman"/>
      <family val="4"/>
    </font>
    <font>
      <b/>
      <vertAlign val="superscript"/>
      <sz val="14"/>
      <color theme="1"/>
      <name val="Source Code Pro ExtraLight"/>
      <family val="3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2" fillId="5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3" borderId="0" xfId="0" applyFill="1"/>
    <xf numFmtId="1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0" fillId="3" borderId="1" xfId="0" applyNumberFormat="1" applyFon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16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16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2" fontId="10" fillId="0" borderId="0" xfId="0" applyNumberFormat="1" applyFont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10" fillId="3" borderId="1" xfId="0" applyNumberFormat="1" applyFont="1" applyFill="1" applyBorder="1" applyAlignment="1">
      <alignment horizontal="left"/>
    </xf>
    <xf numFmtId="1" fontId="16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" fontId="2" fillId="3" borderId="1" xfId="0" applyNumberFormat="1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Función</a:t>
            </a:r>
            <a:r>
              <a:rPr lang="en-US" baseline="0"/>
              <a:t> de pérdida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96787204021698"/>
          <c:y val="2.5970762930943029E-2"/>
          <c:w val="0.84458767379432931"/>
          <c:h val="0.76180839457424676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('sigmoide MSE'!$O$11,'sigmoide MSE'!$O$40,'sigmoide MSE'!$O$69,'sigmoide MSE'!$O$98,'sigmoide MSE'!$O$127)</c:f>
              <c:numCache>
                <c:formatCode>0.000</c:formatCode>
                <c:ptCount val="5"/>
                <c:pt idx="0">
                  <c:v>0.13693277959664482</c:v>
                </c:pt>
                <c:pt idx="1">
                  <c:v>0.10389191255956268</c:v>
                </c:pt>
                <c:pt idx="2">
                  <c:v>8.1291464288884507E-2</c:v>
                </c:pt>
                <c:pt idx="3">
                  <c:v>6.6125622471141413E-2</c:v>
                </c:pt>
                <c:pt idx="4">
                  <c:v>5.4781352061890679E-2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E-4838-A67A-8DEF03B2E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730464"/>
        <c:axId val="480757296"/>
      </c:lineChart>
      <c:catAx>
        <c:axId val="27073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57296"/>
        <c:crosses val="autoZero"/>
        <c:auto val="1"/>
        <c:lblAlgn val="ctr"/>
        <c:lblOffset val="100"/>
        <c:noMultiLvlLbl val="0"/>
      </c:catAx>
      <c:valAx>
        <c:axId val="4807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Función de pérdida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96784776902888"/>
          <c:y val="3.391220694363993E-2"/>
          <c:w val="0.8445877077865267"/>
          <c:h val="0.688973210493871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('sigmoide Cross-entropy'!$O$11,'sigmoide Cross-entropy'!$O$41,'sigmoide Cross-entropy'!$O$71,'sigmoide Cross-entropy'!$O$101,'sigmoide Cross-entropy'!$O$131)</c:f>
              <c:numCache>
                <c:formatCode>0.000</c:formatCode>
                <c:ptCount val="5"/>
                <c:pt idx="0">
                  <c:v>0.321963924594377</c:v>
                </c:pt>
                <c:pt idx="1">
                  <c:v>0.2636980050957991</c:v>
                </c:pt>
                <c:pt idx="2">
                  <c:v>0.23077074253313429</c:v>
                </c:pt>
                <c:pt idx="3">
                  <c:v>0.1984746556970805</c:v>
                </c:pt>
                <c:pt idx="4">
                  <c:v>0.17735645315566956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9-442E-B72E-EE2BA0BA8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799136"/>
        <c:axId val="480639216"/>
      </c:lineChart>
      <c:catAx>
        <c:axId val="27079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639216"/>
        <c:crosses val="autoZero"/>
        <c:auto val="1"/>
        <c:lblAlgn val="ctr"/>
        <c:lblOffset val="100"/>
        <c:noMultiLvlLbl val="0"/>
      </c:catAx>
      <c:valAx>
        <c:axId val="48063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9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46252</xdr:colOff>
      <xdr:row>3</xdr:row>
      <xdr:rowOff>223740</xdr:rowOff>
    </xdr:from>
    <xdr:to>
      <xdr:col>25</xdr:col>
      <xdr:colOff>55659</xdr:colOff>
      <xdr:row>18</xdr:row>
      <xdr:rowOff>183917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482F2B-73AC-3ADB-BE0D-9EBA6AC5C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344715</xdr:colOff>
      <xdr:row>3</xdr:row>
      <xdr:rowOff>132744</xdr:rowOff>
    </xdr:from>
    <xdr:to>
      <xdr:col>23</xdr:col>
      <xdr:colOff>335643</xdr:colOff>
      <xdr:row>16</xdr:row>
      <xdr:rowOff>139397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A8389-8DD1-CC9D-094B-BB153CE1E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57E5-3200-48A5-82A1-39C9DC45486B}">
  <dimension ref="A1:Q179"/>
  <sheetViews>
    <sheetView zoomScale="81" zoomScaleNormal="81" workbookViewId="0">
      <selection activeCell="B8" sqref="B8"/>
    </sheetView>
  </sheetViews>
  <sheetFormatPr baseColWidth="10" defaultRowHeight="18.5"/>
  <cols>
    <col min="1" max="1" width="13.08984375" style="35" customWidth="1"/>
    <col min="2" max="3" width="8" style="11" customWidth="1"/>
    <col min="4" max="4" width="8" style="12" customWidth="1"/>
    <col min="5" max="5" width="8" style="13" customWidth="1"/>
    <col min="6" max="6" width="10.7265625" style="13" customWidth="1"/>
    <col min="7" max="7" width="8" style="13" customWidth="1"/>
    <col min="8" max="8" width="11.453125" style="13" customWidth="1"/>
    <col min="9" max="10" width="8" style="13" customWidth="1"/>
    <col min="11" max="12" width="8" style="12" customWidth="1"/>
    <col min="13" max="13" width="8" style="14" customWidth="1"/>
    <col min="14" max="14" width="8" style="12" customWidth="1"/>
    <col min="15" max="15" width="11.81640625" style="12" customWidth="1"/>
    <col min="16" max="16" width="12.36328125" style="12" customWidth="1"/>
    <col min="17" max="17" width="8" style="12" customWidth="1"/>
  </cols>
  <sheetData>
    <row r="1" spans="1:17">
      <c r="A1" s="36" t="s">
        <v>17</v>
      </c>
      <c r="B1" s="11">
        <v>20</v>
      </c>
    </row>
    <row r="2" spans="1:17" ht="15" customHeight="1"/>
    <row r="3" spans="1:17">
      <c r="A3" s="35" t="s">
        <v>9</v>
      </c>
    </row>
    <row r="5" spans="1:17" s="3" customFormat="1" ht="22">
      <c r="A5" s="37" t="s">
        <v>8</v>
      </c>
      <c r="B5" s="16" t="s">
        <v>2</v>
      </c>
      <c r="C5" s="16" t="s">
        <v>3</v>
      </c>
      <c r="D5" s="15" t="s">
        <v>1</v>
      </c>
      <c r="E5" s="17" t="s">
        <v>5</v>
      </c>
      <c r="F5" s="18" t="s">
        <v>24</v>
      </c>
      <c r="G5" s="17" t="s">
        <v>6</v>
      </c>
      <c r="H5" s="18" t="s">
        <v>25</v>
      </c>
      <c r="I5" s="17" t="s">
        <v>7</v>
      </c>
      <c r="J5" s="18" t="s">
        <v>26</v>
      </c>
      <c r="K5" s="17" t="s">
        <v>4</v>
      </c>
      <c r="L5" s="17" t="s">
        <v>0</v>
      </c>
      <c r="M5" s="19" t="s">
        <v>27</v>
      </c>
      <c r="N5" s="17" t="s">
        <v>10</v>
      </c>
      <c r="O5" s="20" t="s">
        <v>28</v>
      </c>
      <c r="P5" s="18" t="s">
        <v>29</v>
      </c>
      <c r="Q5" s="21" t="s">
        <v>30</v>
      </c>
    </row>
    <row r="6" spans="1:17">
      <c r="A6" s="38">
        <v>1</v>
      </c>
      <c r="B6" s="23">
        <v>0.2</v>
      </c>
      <c r="C6" s="23">
        <v>0.2</v>
      </c>
      <c r="D6" s="22">
        <v>0</v>
      </c>
      <c r="E6" s="24">
        <v>0.1</v>
      </c>
      <c r="F6" s="24"/>
      <c r="G6" s="24">
        <v>-0.3</v>
      </c>
      <c r="H6" s="24"/>
      <c r="I6" s="24">
        <v>-0.1</v>
      </c>
      <c r="J6" s="24"/>
      <c r="K6" s="24">
        <f>E6*B6+G6*C6+I6</f>
        <v>-0.14000000000000001</v>
      </c>
      <c r="L6" s="24">
        <f>1/(1+EXP(-K6))</f>
        <v>0.4650570548417855</v>
      </c>
      <c r="M6" s="22">
        <f>IF(L6&gt;0.5,1,0)</f>
        <v>0</v>
      </c>
      <c r="N6" s="24"/>
      <c r="O6" s="24">
        <f>0.5*(L6-D6)^2</f>
        <v>0.10813903212905775</v>
      </c>
      <c r="P6" s="25"/>
      <c r="Q6" s="26"/>
    </row>
    <row r="7" spans="1:17">
      <c r="A7" s="38">
        <f>A6</f>
        <v>1</v>
      </c>
      <c r="B7" s="23">
        <v>0.5</v>
      </c>
      <c r="C7" s="23">
        <v>0.1</v>
      </c>
      <c r="D7" s="22">
        <v>0</v>
      </c>
      <c r="E7" s="24">
        <f>E6</f>
        <v>0.1</v>
      </c>
      <c r="F7" s="24"/>
      <c r="G7" s="24">
        <f>G6</f>
        <v>-0.3</v>
      </c>
      <c r="H7" s="24"/>
      <c r="I7" s="24">
        <f>I6</f>
        <v>-0.1</v>
      </c>
      <c r="J7" s="24"/>
      <c r="K7" s="24">
        <f t="shared" ref="K7:K9" si="0">E7*B7+G7*C7+I7</f>
        <v>-0.08</v>
      </c>
      <c r="L7" s="24">
        <f t="shared" ref="L7:L9" si="1">1/(1+EXP(-K7))</f>
        <v>0.48001065984441826</v>
      </c>
      <c r="M7" s="22">
        <f t="shared" ref="M7:M9" si="2">IF(L7&gt;0.5,1,0)</f>
        <v>0</v>
      </c>
      <c r="N7" s="24"/>
      <c r="O7" s="24">
        <f t="shared" ref="O7:O9" si="3">0.5*(L7-D7)^2</f>
        <v>0.11520511678213691</v>
      </c>
      <c r="P7" s="25"/>
      <c r="Q7" s="26"/>
    </row>
    <row r="8" spans="1:17">
      <c r="A8" s="38">
        <f t="shared" ref="A8:A9" si="4">A7</f>
        <v>1</v>
      </c>
      <c r="B8" s="23">
        <v>0.5</v>
      </c>
      <c r="C8" s="23">
        <v>0.8</v>
      </c>
      <c r="D8" s="22">
        <v>1</v>
      </c>
      <c r="E8" s="24">
        <f t="shared" ref="E8:E9" si="5">E7</f>
        <v>0.1</v>
      </c>
      <c r="F8" s="24"/>
      <c r="G8" s="24">
        <f t="shared" ref="G8:G9" si="6">G7</f>
        <v>-0.3</v>
      </c>
      <c r="H8" s="24"/>
      <c r="I8" s="24">
        <f t="shared" ref="I8:I9" si="7">I7</f>
        <v>-0.1</v>
      </c>
      <c r="J8" s="24"/>
      <c r="K8" s="24">
        <f t="shared" si="0"/>
        <v>-0.29000000000000004</v>
      </c>
      <c r="L8" s="24">
        <f t="shared" si="1"/>
        <v>0.42800386706848137</v>
      </c>
      <c r="M8" s="22">
        <f t="shared" si="2"/>
        <v>0</v>
      </c>
      <c r="N8" s="24"/>
      <c r="O8" s="24">
        <f t="shared" si="3"/>
        <v>0.16358978804430577</v>
      </c>
      <c r="P8" s="25"/>
      <c r="Q8" s="26"/>
    </row>
    <row r="9" spans="1:17">
      <c r="A9" s="38">
        <f t="shared" si="4"/>
        <v>1</v>
      </c>
      <c r="B9" s="23">
        <v>1</v>
      </c>
      <c r="C9" s="23">
        <v>0.9</v>
      </c>
      <c r="D9" s="22">
        <v>1</v>
      </c>
      <c r="E9" s="24">
        <f t="shared" si="5"/>
        <v>0.1</v>
      </c>
      <c r="F9" s="24"/>
      <c r="G9" s="24">
        <f t="shared" si="6"/>
        <v>-0.3</v>
      </c>
      <c r="H9" s="24"/>
      <c r="I9" s="24">
        <f t="shared" si="7"/>
        <v>-0.1</v>
      </c>
      <c r="J9" s="24"/>
      <c r="K9" s="24">
        <f t="shared" si="0"/>
        <v>-0.27</v>
      </c>
      <c r="L9" s="24">
        <f t="shared" si="1"/>
        <v>0.43290709503454572</v>
      </c>
      <c r="M9" s="22">
        <f t="shared" si="2"/>
        <v>0</v>
      </c>
      <c r="N9" s="24"/>
      <c r="O9" s="24">
        <f t="shared" si="3"/>
        <v>0.16079718143107888</v>
      </c>
      <c r="P9" s="25"/>
      <c r="Q9" s="26"/>
    </row>
    <row r="10" spans="1:17">
      <c r="E10" s="13" t="s">
        <v>16</v>
      </c>
    </row>
    <row r="11" spans="1:17">
      <c r="O11" s="13">
        <f>AVERAGE(O15:O18)</f>
        <v>0.13693277959664482</v>
      </c>
      <c r="P11" s="12" t="s">
        <v>13</v>
      </c>
    </row>
    <row r="12" spans="1:17">
      <c r="A12" s="35" t="s">
        <v>12</v>
      </c>
    </row>
    <row r="14" spans="1:17" s="3" customFormat="1" ht="22">
      <c r="A14" s="37" t="s">
        <v>8</v>
      </c>
      <c r="B14" s="16" t="s">
        <v>2</v>
      </c>
      <c r="C14" s="16" t="s">
        <v>3</v>
      </c>
      <c r="D14" s="15" t="s">
        <v>1</v>
      </c>
      <c r="E14" s="17" t="s">
        <v>5</v>
      </c>
      <c r="F14" s="18" t="s">
        <v>24</v>
      </c>
      <c r="G14" s="17" t="s">
        <v>6</v>
      </c>
      <c r="H14" s="18" t="s">
        <v>25</v>
      </c>
      <c r="I14" s="17" t="s">
        <v>7</v>
      </c>
      <c r="J14" s="18" t="s">
        <v>26</v>
      </c>
      <c r="K14" s="17" t="s">
        <v>4</v>
      </c>
      <c r="L14" s="17" t="s">
        <v>0</v>
      </c>
      <c r="M14" s="19" t="s">
        <v>27</v>
      </c>
      <c r="N14" s="17" t="s">
        <v>10</v>
      </c>
      <c r="O14" s="20" t="s">
        <v>28</v>
      </c>
      <c r="P14" s="18" t="s">
        <v>29</v>
      </c>
      <c r="Q14" s="21" t="s">
        <v>30</v>
      </c>
    </row>
    <row r="15" spans="1:17">
      <c r="A15" s="38">
        <f>A6</f>
        <v>1</v>
      </c>
      <c r="B15" s="23">
        <f t="shared" ref="B15:D15" si="8">B6</f>
        <v>0.2</v>
      </c>
      <c r="C15" s="23">
        <f t="shared" si="8"/>
        <v>0.2</v>
      </c>
      <c r="D15" s="22">
        <f t="shared" si="8"/>
        <v>0</v>
      </c>
      <c r="E15" s="24">
        <f t="shared" ref="E15" si="9">E6</f>
        <v>0.1</v>
      </c>
      <c r="F15" s="24"/>
      <c r="G15" s="24">
        <f>G6</f>
        <v>-0.3</v>
      </c>
      <c r="H15" s="24"/>
      <c r="I15" s="24">
        <f>I6</f>
        <v>-0.1</v>
      </c>
      <c r="J15" s="24"/>
      <c r="K15" s="24">
        <f>E15*B15+G15*C15+I15</f>
        <v>-0.14000000000000001</v>
      </c>
      <c r="L15" s="24">
        <f>L6</f>
        <v>0.4650570548417855</v>
      </c>
      <c r="M15" s="22">
        <f>IF(L15&gt;0.5,1,0)</f>
        <v>0</v>
      </c>
      <c r="N15" s="27">
        <f>L15*(1-L15)</f>
        <v>0.24877899058367001</v>
      </c>
      <c r="O15" s="24">
        <f>O6</f>
        <v>0.10813903212905775</v>
      </c>
      <c r="P15" s="28">
        <f t="shared" ref="P15" si="10">(L15-D15)</f>
        <v>0.4650570548417855</v>
      </c>
      <c r="Q15" s="29"/>
    </row>
    <row r="16" spans="1:17">
      <c r="A16" s="38">
        <f t="shared" ref="A16:D16" si="11">A7</f>
        <v>1</v>
      </c>
      <c r="B16" s="23">
        <f t="shared" si="11"/>
        <v>0.5</v>
      </c>
      <c r="C16" s="23">
        <f t="shared" si="11"/>
        <v>0.1</v>
      </c>
      <c r="D16" s="22">
        <f t="shared" si="11"/>
        <v>0</v>
      </c>
      <c r="E16" s="24">
        <f t="shared" ref="E16:E18" si="12">E15</f>
        <v>0.1</v>
      </c>
      <c r="F16" s="24"/>
      <c r="G16" s="24">
        <f t="shared" ref="G16:G18" si="13">G15</f>
        <v>-0.3</v>
      </c>
      <c r="H16" s="24"/>
      <c r="I16" s="24">
        <f t="shared" ref="I16:I18" si="14">I15</f>
        <v>-0.1</v>
      </c>
      <c r="J16" s="24"/>
      <c r="K16" s="24">
        <f t="shared" ref="K16:K18" si="15">E16*B16+G16*C16+I16</f>
        <v>-0.08</v>
      </c>
      <c r="L16" s="24">
        <f t="shared" ref="L16:L18" si="16">L7</f>
        <v>0.48001065984441826</v>
      </c>
      <c r="M16" s="22">
        <f t="shared" ref="M16:M18" si="17">IF(L16&gt;0.5,1,0)</f>
        <v>0</v>
      </c>
      <c r="N16" s="27">
        <f t="shared" ref="N16:N18" si="18">L16*(1-L16)</f>
        <v>0.24960042628014445</v>
      </c>
      <c r="O16" s="24">
        <f>O7</f>
        <v>0.11520511678213691</v>
      </c>
      <c r="P16" s="28">
        <f>(L16-D16)</f>
        <v>0.48001065984441826</v>
      </c>
      <c r="Q16" s="29"/>
    </row>
    <row r="17" spans="1:17">
      <c r="A17" s="38">
        <f t="shared" ref="A17:D17" si="19">A8</f>
        <v>1</v>
      </c>
      <c r="B17" s="23">
        <f t="shared" si="19"/>
        <v>0.5</v>
      </c>
      <c r="C17" s="23">
        <f t="shared" si="19"/>
        <v>0.8</v>
      </c>
      <c r="D17" s="22">
        <f t="shared" si="19"/>
        <v>1</v>
      </c>
      <c r="E17" s="24">
        <f t="shared" si="12"/>
        <v>0.1</v>
      </c>
      <c r="F17" s="24"/>
      <c r="G17" s="24">
        <f t="shared" si="13"/>
        <v>-0.3</v>
      </c>
      <c r="H17" s="24"/>
      <c r="I17" s="24">
        <f t="shared" si="14"/>
        <v>-0.1</v>
      </c>
      <c r="J17" s="24"/>
      <c r="K17" s="24">
        <f t="shared" si="15"/>
        <v>-0.29000000000000004</v>
      </c>
      <c r="L17" s="24">
        <f t="shared" si="16"/>
        <v>0.42800386706848137</v>
      </c>
      <c r="M17" s="22">
        <f t="shared" si="17"/>
        <v>0</v>
      </c>
      <c r="N17" s="27">
        <f t="shared" si="18"/>
        <v>0.2448165568429071</v>
      </c>
      <c r="O17" s="24">
        <f>O8</f>
        <v>0.16358978804430577</v>
      </c>
      <c r="P17" s="28">
        <f t="shared" ref="P17:P18" si="20">(L17-D17)</f>
        <v>-0.57199613293151863</v>
      </c>
      <c r="Q17" s="29"/>
    </row>
    <row r="18" spans="1:17">
      <c r="A18" s="38">
        <f t="shared" ref="A18:D18" si="21">A9</f>
        <v>1</v>
      </c>
      <c r="B18" s="23">
        <f t="shared" si="21"/>
        <v>1</v>
      </c>
      <c r="C18" s="23">
        <f t="shared" si="21"/>
        <v>0.9</v>
      </c>
      <c r="D18" s="22">
        <f t="shared" si="21"/>
        <v>1</v>
      </c>
      <c r="E18" s="24">
        <f t="shared" si="12"/>
        <v>0.1</v>
      </c>
      <c r="F18" s="24"/>
      <c r="G18" s="24">
        <f t="shared" si="13"/>
        <v>-0.3</v>
      </c>
      <c r="H18" s="24"/>
      <c r="I18" s="24">
        <f t="shared" si="14"/>
        <v>-0.1</v>
      </c>
      <c r="J18" s="24"/>
      <c r="K18" s="24">
        <f t="shared" si="15"/>
        <v>-0.27</v>
      </c>
      <c r="L18" s="24">
        <f t="shared" si="16"/>
        <v>0.43290709503454572</v>
      </c>
      <c r="M18" s="22">
        <f t="shared" si="17"/>
        <v>0</v>
      </c>
      <c r="N18" s="27">
        <f t="shared" si="18"/>
        <v>0.24549854210329652</v>
      </c>
      <c r="O18" s="24">
        <f>O9</f>
        <v>0.16079718143107888</v>
      </c>
      <c r="P18" s="28">
        <f t="shared" si="20"/>
        <v>-0.56709290496545428</v>
      </c>
      <c r="Q18" s="29"/>
    </row>
    <row r="21" spans="1:17" ht="22">
      <c r="A21" s="37" t="s">
        <v>8</v>
      </c>
      <c r="B21" s="16" t="s">
        <v>2</v>
      </c>
      <c r="C21" s="16" t="s">
        <v>3</v>
      </c>
      <c r="D21" s="15" t="s">
        <v>1</v>
      </c>
      <c r="E21" s="17" t="s">
        <v>5</v>
      </c>
      <c r="F21" s="18" t="s">
        <v>24</v>
      </c>
      <c r="G21" s="17" t="s">
        <v>6</v>
      </c>
      <c r="H21" s="18" t="s">
        <v>25</v>
      </c>
      <c r="I21" s="17" t="s">
        <v>7</v>
      </c>
      <c r="J21" s="18" t="s">
        <v>26</v>
      </c>
      <c r="K21" s="17" t="s">
        <v>4</v>
      </c>
      <c r="L21" s="17" t="s">
        <v>0</v>
      </c>
      <c r="M21" s="19" t="s">
        <v>27</v>
      </c>
      <c r="N21" s="17" t="s">
        <v>10</v>
      </c>
      <c r="O21" s="20" t="s">
        <v>28</v>
      </c>
      <c r="P21" s="18" t="s">
        <v>29</v>
      </c>
      <c r="Q21" s="21" t="s">
        <v>30</v>
      </c>
    </row>
    <row r="22" spans="1:17">
      <c r="A22" s="38">
        <f t="shared" ref="A22:E25" si="22">A15</f>
        <v>1</v>
      </c>
      <c r="B22" s="23">
        <f t="shared" si="22"/>
        <v>0.2</v>
      </c>
      <c r="C22" s="23">
        <f t="shared" si="22"/>
        <v>0.2</v>
      </c>
      <c r="D22" s="22">
        <f t="shared" si="22"/>
        <v>0</v>
      </c>
      <c r="E22" s="24">
        <f t="shared" si="22"/>
        <v>0.1</v>
      </c>
      <c r="F22" s="30">
        <f>Q22*B22</f>
        <v>2.3139284933470772E-2</v>
      </c>
      <c r="G22" s="24">
        <f>G15</f>
        <v>-0.3</v>
      </c>
      <c r="H22" s="30">
        <f>Q22*C22</f>
        <v>2.3139284933470772E-2</v>
      </c>
      <c r="I22" s="24">
        <f>I15</f>
        <v>-0.1</v>
      </c>
      <c r="J22" s="30">
        <f>Q22</f>
        <v>0.11569642466735386</v>
      </c>
      <c r="K22" s="24">
        <f>E22*B22+G22*C22+I22</f>
        <v>-0.14000000000000001</v>
      </c>
      <c r="L22" s="24">
        <f>L15</f>
        <v>0.4650570548417855</v>
      </c>
      <c r="M22" s="22">
        <f>IF(L22&gt;0.5,1,0)</f>
        <v>0</v>
      </c>
      <c r="N22" s="27">
        <f>N15</f>
        <v>0.24877899058367001</v>
      </c>
      <c r="O22" s="24">
        <f>(L22-D22)^2</f>
        <v>0.21627806425811549</v>
      </c>
      <c r="P22" s="28">
        <f>P15</f>
        <v>0.4650570548417855</v>
      </c>
      <c r="Q22" s="31">
        <f>P22*N22</f>
        <v>0.11569642466735386</v>
      </c>
    </row>
    <row r="23" spans="1:17">
      <c r="A23" s="38">
        <f t="shared" si="22"/>
        <v>1</v>
      </c>
      <c r="B23" s="23">
        <f t="shared" si="22"/>
        <v>0.5</v>
      </c>
      <c r="C23" s="23">
        <f t="shared" si="22"/>
        <v>0.1</v>
      </c>
      <c r="D23" s="22">
        <f t="shared" si="22"/>
        <v>0</v>
      </c>
      <c r="E23" s="24">
        <f t="shared" si="22"/>
        <v>0.1</v>
      </c>
      <c r="F23" s="30">
        <f t="shared" ref="F23:F25" si="23">Q23*B23</f>
        <v>5.9905432658090105E-2</v>
      </c>
      <c r="G23" s="24">
        <f>G16</f>
        <v>-0.3</v>
      </c>
      <c r="H23" s="30">
        <f t="shared" ref="H23:H25" si="24">Q23*C23</f>
        <v>1.1981086531618022E-2</v>
      </c>
      <c r="I23" s="24">
        <f>I16</f>
        <v>-0.1</v>
      </c>
      <c r="J23" s="30">
        <f t="shared" ref="J23:J25" si="25">Q23</f>
        <v>0.11981086531618021</v>
      </c>
      <c r="K23" s="24">
        <f t="shared" ref="K23:K25" si="26">E23*B23+G23*C23+I23</f>
        <v>-0.08</v>
      </c>
      <c r="L23" s="24">
        <f>L16</f>
        <v>0.48001065984441826</v>
      </c>
      <c r="M23" s="22">
        <f t="shared" ref="M23:M25" si="27">IF(L23&gt;0.5,1,0)</f>
        <v>0</v>
      </c>
      <c r="N23" s="27">
        <f>N16</f>
        <v>0.24960042628014445</v>
      </c>
      <c r="O23" s="24">
        <f t="shared" ref="O23:O25" si="28">(L23-D23)^2</f>
        <v>0.23041023356427381</v>
      </c>
      <c r="P23" s="28">
        <f>P16</f>
        <v>0.48001065984441826</v>
      </c>
      <c r="Q23" s="31">
        <f t="shared" ref="Q23:Q25" si="29">P23*N23</f>
        <v>0.11981086531618021</v>
      </c>
    </row>
    <row r="24" spans="1:17">
      <c r="A24" s="38">
        <f t="shared" si="22"/>
        <v>1</v>
      </c>
      <c r="B24" s="23">
        <f t="shared" si="22"/>
        <v>0.5</v>
      </c>
      <c r="C24" s="23">
        <f t="shared" si="22"/>
        <v>0.8</v>
      </c>
      <c r="D24" s="22">
        <f t="shared" si="22"/>
        <v>1</v>
      </c>
      <c r="E24" s="24">
        <f t="shared" si="22"/>
        <v>0.1</v>
      </c>
      <c r="F24" s="30">
        <f t="shared" si="23"/>
        <v>-7.0017061895876087E-2</v>
      </c>
      <c r="G24" s="24">
        <f>G17</f>
        <v>-0.3</v>
      </c>
      <c r="H24" s="30">
        <f t="shared" si="24"/>
        <v>-0.11202729903340175</v>
      </c>
      <c r="I24" s="24">
        <f>I17</f>
        <v>-0.1</v>
      </c>
      <c r="J24" s="30">
        <f t="shared" si="25"/>
        <v>-0.14003412379175217</v>
      </c>
      <c r="K24" s="24">
        <f t="shared" si="26"/>
        <v>-0.29000000000000004</v>
      </c>
      <c r="L24" s="24">
        <f>L17</f>
        <v>0.42800386706848137</v>
      </c>
      <c r="M24" s="22">
        <f t="shared" si="27"/>
        <v>0</v>
      </c>
      <c r="N24" s="27">
        <f>N17</f>
        <v>0.2448165568429071</v>
      </c>
      <c r="O24" s="24">
        <f t="shared" si="28"/>
        <v>0.32717957608861153</v>
      </c>
      <c r="P24" s="28">
        <f>P17</f>
        <v>-0.57199613293151863</v>
      </c>
      <c r="Q24" s="31">
        <f t="shared" si="29"/>
        <v>-0.14003412379175217</v>
      </c>
    </row>
    <row r="25" spans="1:17">
      <c r="A25" s="38">
        <f t="shared" si="22"/>
        <v>1</v>
      </c>
      <c r="B25" s="23">
        <f t="shared" si="22"/>
        <v>1</v>
      </c>
      <c r="C25" s="23">
        <f t="shared" si="22"/>
        <v>0.9</v>
      </c>
      <c r="D25" s="22">
        <f t="shared" si="22"/>
        <v>1</v>
      </c>
      <c r="E25" s="24">
        <f t="shared" si="22"/>
        <v>0.1</v>
      </c>
      <c r="F25" s="30">
        <f t="shared" si="23"/>
        <v>-0.13922048140614232</v>
      </c>
      <c r="G25" s="24">
        <f>G18</f>
        <v>-0.3</v>
      </c>
      <c r="H25" s="30">
        <f t="shared" si="24"/>
        <v>-0.12529843326552809</v>
      </c>
      <c r="I25" s="24">
        <f>I18</f>
        <v>-0.1</v>
      </c>
      <c r="J25" s="30">
        <f t="shared" si="25"/>
        <v>-0.13922048140614232</v>
      </c>
      <c r="K25" s="24">
        <f t="shared" si="26"/>
        <v>-0.27</v>
      </c>
      <c r="L25" s="24">
        <f>L18</f>
        <v>0.43290709503454572</v>
      </c>
      <c r="M25" s="22">
        <f t="shared" si="27"/>
        <v>0</v>
      </c>
      <c r="N25" s="27">
        <f>N18</f>
        <v>0.24549854210329652</v>
      </c>
      <c r="O25" s="24">
        <f t="shared" si="28"/>
        <v>0.32159436286215776</v>
      </c>
      <c r="P25" s="28">
        <f>P18</f>
        <v>-0.56709290496545428</v>
      </c>
      <c r="Q25" s="31">
        <f t="shared" si="29"/>
        <v>-0.13922048140614232</v>
      </c>
    </row>
    <row r="27" spans="1:17">
      <c r="A27" s="35" t="s">
        <v>14</v>
      </c>
    </row>
    <row r="29" spans="1:17">
      <c r="B29" s="32"/>
      <c r="E29" s="33" t="s">
        <v>5</v>
      </c>
      <c r="G29" s="33" t="s">
        <v>6</v>
      </c>
      <c r="I29" s="33" t="s">
        <v>7</v>
      </c>
    </row>
    <row r="30" spans="1:17">
      <c r="E30" s="13">
        <f>E22-$B$1*AVERAGE(F22:F25)</f>
        <v>0.73096412855228765</v>
      </c>
      <c r="G30" s="13">
        <f>G22-$B$1*AVERAGE(H22:H25)</f>
        <v>0.71102680416920516</v>
      </c>
      <c r="I30" s="13">
        <f>I22-$B$1*AVERAGE(J22:J25)</f>
        <v>0.11873657607180213</v>
      </c>
    </row>
    <row r="32" spans="1:17">
      <c r="A32" s="35" t="s">
        <v>9</v>
      </c>
    </row>
    <row r="34" spans="1:17" ht="22">
      <c r="A34" s="37" t="s">
        <v>8</v>
      </c>
      <c r="B34" s="16" t="s">
        <v>2</v>
      </c>
      <c r="C34" s="16" t="s">
        <v>3</v>
      </c>
      <c r="D34" s="15" t="s">
        <v>1</v>
      </c>
      <c r="E34" s="17" t="s">
        <v>5</v>
      </c>
      <c r="F34" s="18" t="s">
        <v>24</v>
      </c>
      <c r="G34" s="17" t="s">
        <v>6</v>
      </c>
      <c r="H34" s="18" t="s">
        <v>25</v>
      </c>
      <c r="I34" s="17" t="s">
        <v>7</v>
      </c>
      <c r="J34" s="18" t="s">
        <v>26</v>
      </c>
      <c r="K34" s="17" t="s">
        <v>4</v>
      </c>
      <c r="L34" s="17" t="s">
        <v>0</v>
      </c>
      <c r="M34" s="19" t="s">
        <v>27</v>
      </c>
      <c r="N34" s="17" t="s">
        <v>10</v>
      </c>
      <c r="O34" s="20" t="s">
        <v>28</v>
      </c>
      <c r="P34" s="18" t="s">
        <v>29</v>
      </c>
      <c r="Q34" s="21" t="s">
        <v>30</v>
      </c>
    </row>
    <row r="35" spans="1:17">
      <c r="A35" s="38">
        <v>2</v>
      </c>
      <c r="B35" s="23">
        <f t="shared" ref="B35:E38" si="30">B6</f>
        <v>0.2</v>
      </c>
      <c r="C35" s="23">
        <f t="shared" si="30"/>
        <v>0.2</v>
      </c>
      <c r="D35" s="23">
        <f t="shared" si="30"/>
        <v>0</v>
      </c>
      <c r="E35" s="23">
        <f t="shared" si="30"/>
        <v>0.1</v>
      </c>
      <c r="F35" s="24"/>
      <c r="G35" s="24">
        <f>G30</f>
        <v>0.71102680416920516</v>
      </c>
      <c r="H35" s="24"/>
      <c r="I35" s="24">
        <f>I30</f>
        <v>0.11873657607180213</v>
      </c>
      <c r="J35" s="24"/>
      <c r="K35" s="24">
        <f>E35*B35+G35*C35+I35</f>
        <v>0.28094193690564317</v>
      </c>
      <c r="L35" s="24">
        <f>1/(1+EXP(-K35))</f>
        <v>0.5697771371770507</v>
      </c>
      <c r="M35" s="22">
        <f>IF(L35&gt;0.5,1,0)</f>
        <v>1</v>
      </c>
      <c r="N35" s="24"/>
      <c r="O35" s="24">
        <f>0.5*(L35-D35)^2</f>
        <v>0.16232299302483782</v>
      </c>
      <c r="P35" s="25"/>
      <c r="Q35" s="26"/>
    </row>
    <row r="36" spans="1:17">
      <c r="A36" s="38">
        <f>A35</f>
        <v>2</v>
      </c>
      <c r="B36" s="23">
        <f t="shared" si="30"/>
        <v>0.5</v>
      </c>
      <c r="C36" s="23">
        <f t="shared" si="30"/>
        <v>0.1</v>
      </c>
      <c r="D36" s="23">
        <f t="shared" si="30"/>
        <v>0</v>
      </c>
      <c r="E36" s="23">
        <f t="shared" si="30"/>
        <v>0.1</v>
      </c>
      <c r="F36" s="24"/>
      <c r="G36" s="24">
        <f>G35</f>
        <v>0.71102680416920516</v>
      </c>
      <c r="H36" s="24"/>
      <c r="I36" s="24">
        <f>I35</f>
        <v>0.11873657607180213</v>
      </c>
      <c r="J36" s="24"/>
      <c r="K36" s="24">
        <f t="shared" ref="K36:K38" si="31">E36*B36+G36*C36+I36</f>
        <v>0.23983925648872265</v>
      </c>
      <c r="L36" s="24">
        <f t="shared" ref="L36:L38" si="32">1/(1+EXP(-K36))</f>
        <v>0.55967403617556777</v>
      </c>
      <c r="M36" s="22">
        <f t="shared" ref="M36:M38" si="33">IF(L36&gt;0.5,1,0)</f>
        <v>1</v>
      </c>
      <c r="N36" s="24"/>
      <c r="O36" s="24">
        <f t="shared" ref="O36:O38" si="34">0.5*(L36-D36)^2</f>
        <v>0.15661751338452537</v>
      </c>
      <c r="P36" s="25"/>
      <c r="Q36" s="26"/>
    </row>
    <row r="37" spans="1:17">
      <c r="A37" s="38">
        <f t="shared" ref="A37:A38" si="35">A36</f>
        <v>2</v>
      </c>
      <c r="B37" s="23">
        <f t="shared" si="30"/>
        <v>0.5</v>
      </c>
      <c r="C37" s="23">
        <f t="shared" si="30"/>
        <v>0.8</v>
      </c>
      <c r="D37" s="23">
        <f t="shared" si="30"/>
        <v>1</v>
      </c>
      <c r="E37" s="23">
        <f t="shared" si="30"/>
        <v>0.1</v>
      </c>
      <c r="F37" s="24"/>
      <c r="G37" s="24">
        <f t="shared" ref="G37:G38" si="36">G36</f>
        <v>0.71102680416920516</v>
      </c>
      <c r="H37" s="24"/>
      <c r="I37" s="24">
        <f t="shared" ref="I37:I38" si="37">I36</f>
        <v>0.11873657607180213</v>
      </c>
      <c r="J37" s="24"/>
      <c r="K37" s="24">
        <f t="shared" si="31"/>
        <v>0.73755801940716625</v>
      </c>
      <c r="L37" s="24">
        <f t="shared" si="32"/>
        <v>0.67646163168092921</v>
      </c>
      <c r="M37" s="22">
        <f t="shared" si="33"/>
        <v>1</v>
      </c>
      <c r="N37" s="24"/>
      <c r="O37" s="24">
        <f t="shared" si="34"/>
        <v>5.2338537887283355E-2</v>
      </c>
      <c r="P37" s="25"/>
      <c r="Q37" s="26"/>
    </row>
    <row r="38" spans="1:17">
      <c r="A38" s="38">
        <f t="shared" si="35"/>
        <v>2</v>
      </c>
      <c r="B38" s="23">
        <f t="shared" si="30"/>
        <v>1</v>
      </c>
      <c r="C38" s="23">
        <f t="shared" si="30"/>
        <v>0.9</v>
      </c>
      <c r="D38" s="23">
        <f t="shared" si="30"/>
        <v>1</v>
      </c>
      <c r="E38" s="23">
        <f t="shared" si="30"/>
        <v>0.1</v>
      </c>
      <c r="F38" s="24"/>
      <c r="G38" s="24">
        <f t="shared" si="36"/>
        <v>0.71102680416920516</v>
      </c>
      <c r="H38" s="24"/>
      <c r="I38" s="24">
        <f t="shared" si="37"/>
        <v>0.11873657607180213</v>
      </c>
      <c r="J38" s="24"/>
      <c r="K38" s="24">
        <f t="shared" si="31"/>
        <v>0.85866069982408677</v>
      </c>
      <c r="L38" s="24">
        <f t="shared" si="32"/>
        <v>0.70238076022674834</v>
      </c>
      <c r="M38" s="22">
        <f t="shared" si="33"/>
        <v>1</v>
      </c>
      <c r="N38" s="24"/>
      <c r="O38" s="24">
        <f t="shared" si="34"/>
        <v>4.428860594160413E-2</v>
      </c>
      <c r="P38" s="25"/>
      <c r="Q38" s="26"/>
    </row>
    <row r="39" spans="1:17">
      <c r="E39" s="13" t="s">
        <v>16</v>
      </c>
    </row>
    <row r="40" spans="1:17">
      <c r="O40" s="13">
        <f>AVERAGE(O44:O47)</f>
        <v>0.10389191255956268</v>
      </c>
      <c r="P40" s="12" t="s">
        <v>13</v>
      </c>
    </row>
    <row r="41" spans="1:17">
      <c r="A41" s="35" t="s">
        <v>12</v>
      </c>
    </row>
    <row r="43" spans="1:17" ht="22">
      <c r="A43" s="37" t="s">
        <v>8</v>
      </c>
      <c r="B43" s="16" t="s">
        <v>2</v>
      </c>
      <c r="C43" s="16" t="s">
        <v>3</v>
      </c>
      <c r="D43" s="15" t="s">
        <v>1</v>
      </c>
      <c r="E43" s="17" t="s">
        <v>5</v>
      </c>
      <c r="F43" s="18" t="s">
        <v>24</v>
      </c>
      <c r="G43" s="17" t="s">
        <v>6</v>
      </c>
      <c r="H43" s="18" t="s">
        <v>25</v>
      </c>
      <c r="I43" s="17" t="s">
        <v>7</v>
      </c>
      <c r="J43" s="18" t="s">
        <v>26</v>
      </c>
      <c r="K43" s="17" t="s">
        <v>4</v>
      </c>
      <c r="L43" s="17" t="s">
        <v>0</v>
      </c>
      <c r="M43" s="19" t="s">
        <v>27</v>
      </c>
      <c r="N43" s="17" t="s">
        <v>10</v>
      </c>
      <c r="O43" s="20" t="s">
        <v>28</v>
      </c>
      <c r="P43" s="18" t="s">
        <v>29</v>
      </c>
      <c r="Q43" s="21" t="s">
        <v>30</v>
      </c>
    </row>
    <row r="44" spans="1:17">
      <c r="A44" s="38">
        <f>A35</f>
        <v>2</v>
      </c>
      <c r="B44" s="23">
        <f>B15</f>
        <v>0.2</v>
      </c>
      <c r="C44" s="23">
        <f t="shared" ref="C44:E44" si="38">C35</f>
        <v>0.2</v>
      </c>
      <c r="D44" s="22">
        <f t="shared" si="38"/>
        <v>0</v>
      </c>
      <c r="E44" s="24">
        <f t="shared" si="38"/>
        <v>0.1</v>
      </c>
      <c r="F44" s="24"/>
      <c r="G44" s="24">
        <f>G35</f>
        <v>0.71102680416920516</v>
      </c>
      <c r="H44" s="24"/>
      <c r="I44" s="24">
        <f>I35</f>
        <v>0.11873657607180213</v>
      </c>
      <c r="J44" s="24"/>
      <c r="K44" s="24">
        <f>E44*B44+G44*C44+I44</f>
        <v>0.28094193690564317</v>
      </c>
      <c r="L44" s="24">
        <f>L35</f>
        <v>0.5697771371770507</v>
      </c>
      <c r="M44" s="22">
        <f>IF(L44&gt;0.5,1,0)</f>
        <v>1</v>
      </c>
      <c r="N44" s="27">
        <f>L44*(1-L44)</f>
        <v>0.24513115112737505</v>
      </c>
      <c r="O44" s="24">
        <f>O35</f>
        <v>0.16232299302483782</v>
      </c>
      <c r="P44" s="28">
        <f>(L44-D44)</f>
        <v>0.5697771371770507</v>
      </c>
      <c r="Q44" s="29"/>
    </row>
    <row r="45" spans="1:17">
      <c r="A45" s="38">
        <f t="shared" ref="A45:D45" si="39">A36</f>
        <v>2</v>
      </c>
      <c r="B45" s="23">
        <f t="shared" si="39"/>
        <v>0.5</v>
      </c>
      <c r="C45" s="23">
        <f t="shared" si="39"/>
        <v>0.1</v>
      </c>
      <c r="D45" s="22">
        <f t="shared" si="39"/>
        <v>0</v>
      </c>
      <c r="E45" s="24">
        <f t="shared" ref="E45:E47" si="40">E44</f>
        <v>0.1</v>
      </c>
      <c r="F45" s="24"/>
      <c r="G45" s="24">
        <f t="shared" ref="G45:G47" si="41">G44</f>
        <v>0.71102680416920516</v>
      </c>
      <c r="H45" s="24"/>
      <c r="I45" s="24">
        <f t="shared" ref="I45:I47" si="42">I44</f>
        <v>0.11873657607180213</v>
      </c>
      <c r="J45" s="24"/>
      <c r="K45" s="24">
        <f t="shared" ref="K45:K47" si="43">E45*B45+G45*C45+I45</f>
        <v>0.23983925648872265</v>
      </c>
      <c r="L45" s="24">
        <f t="shared" ref="L45:L47" si="44">L36</f>
        <v>0.55967403617556777</v>
      </c>
      <c r="M45" s="22">
        <f t="shared" ref="M45:M47" si="45">IF(L45&gt;0.5,1,0)</f>
        <v>1</v>
      </c>
      <c r="N45" s="27">
        <f t="shared" ref="N45:N47" si="46">L45*(1-L45)</f>
        <v>0.24643900940651703</v>
      </c>
      <c r="O45" s="24">
        <f>O36</f>
        <v>0.15661751338452537</v>
      </c>
      <c r="P45" s="28">
        <f t="shared" ref="P45:P47" si="47">(L45-D45)</f>
        <v>0.55967403617556777</v>
      </c>
      <c r="Q45" s="29"/>
    </row>
    <row r="46" spans="1:17">
      <c r="A46" s="38">
        <f t="shared" ref="A46:D46" si="48">A37</f>
        <v>2</v>
      </c>
      <c r="B46" s="23">
        <f t="shared" si="48"/>
        <v>0.5</v>
      </c>
      <c r="C46" s="23">
        <f t="shared" si="48"/>
        <v>0.8</v>
      </c>
      <c r="D46" s="22">
        <f t="shared" si="48"/>
        <v>1</v>
      </c>
      <c r="E46" s="24">
        <f t="shared" si="40"/>
        <v>0.1</v>
      </c>
      <c r="F46" s="24"/>
      <c r="G46" s="24">
        <f t="shared" si="41"/>
        <v>0.71102680416920516</v>
      </c>
      <c r="H46" s="24"/>
      <c r="I46" s="24">
        <f t="shared" si="42"/>
        <v>0.11873657607180213</v>
      </c>
      <c r="J46" s="24"/>
      <c r="K46" s="24">
        <f t="shared" si="43"/>
        <v>0.73755801940716625</v>
      </c>
      <c r="L46" s="24">
        <f t="shared" si="44"/>
        <v>0.67646163168092921</v>
      </c>
      <c r="M46" s="22">
        <f t="shared" si="45"/>
        <v>1</v>
      </c>
      <c r="N46" s="27">
        <f t="shared" si="46"/>
        <v>0.21886129254450409</v>
      </c>
      <c r="O46" s="24">
        <f>O37</f>
        <v>5.2338537887283355E-2</v>
      </c>
      <c r="P46" s="28">
        <f t="shared" si="47"/>
        <v>-0.32353836831907079</v>
      </c>
      <c r="Q46" s="29"/>
    </row>
    <row r="47" spans="1:17">
      <c r="A47" s="38">
        <f t="shared" ref="A47:D47" si="49">A38</f>
        <v>2</v>
      </c>
      <c r="B47" s="23">
        <f t="shared" si="49"/>
        <v>1</v>
      </c>
      <c r="C47" s="23">
        <f t="shared" si="49"/>
        <v>0.9</v>
      </c>
      <c r="D47" s="22">
        <f t="shared" si="49"/>
        <v>1</v>
      </c>
      <c r="E47" s="24">
        <f t="shared" si="40"/>
        <v>0.1</v>
      </c>
      <c r="F47" s="24"/>
      <c r="G47" s="24">
        <f t="shared" si="41"/>
        <v>0.71102680416920516</v>
      </c>
      <c r="H47" s="24"/>
      <c r="I47" s="24">
        <f t="shared" si="42"/>
        <v>0.11873657607180213</v>
      </c>
      <c r="J47" s="24"/>
      <c r="K47" s="24">
        <f t="shared" si="43"/>
        <v>0.85866069982408677</v>
      </c>
      <c r="L47" s="24">
        <f t="shared" si="44"/>
        <v>0.70238076022674834</v>
      </c>
      <c r="M47" s="22">
        <f t="shared" si="45"/>
        <v>1</v>
      </c>
      <c r="N47" s="27">
        <f t="shared" si="46"/>
        <v>0.20904202789004339</v>
      </c>
      <c r="O47" s="24">
        <f>O38</f>
        <v>4.428860594160413E-2</v>
      </c>
      <c r="P47" s="28">
        <f t="shared" si="47"/>
        <v>-0.29761923977325166</v>
      </c>
      <c r="Q47" s="29"/>
    </row>
    <row r="50" spans="1:17" ht="22">
      <c r="A50" s="37" t="s">
        <v>8</v>
      </c>
      <c r="B50" s="16" t="s">
        <v>2</v>
      </c>
      <c r="C50" s="16" t="s">
        <v>3</v>
      </c>
      <c r="D50" s="15" t="s">
        <v>1</v>
      </c>
      <c r="E50" s="17" t="s">
        <v>5</v>
      </c>
      <c r="F50" s="18" t="s">
        <v>24</v>
      </c>
      <c r="G50" s="17" t="s">
        <v>6</v>
      </c>
      <c r="H50" s="18" t="s">
        <v>25</v>
      </c>
      <c r="I50" s="17" t="s">
        <v>7</v>
      </c>
      <c r="J50" s="18" t="s">
        <v>26</v>
      </c>
      <c r="K50" s="17" t="s">
        <v>4</v>
      </c>
      <c r="L50" s="17" t="s">
        <v>0</v>
      </c>
      <c r="M50" s="19" t="s">
        <v>27</v>
      </c>
      <c r="N50" s="17" t="s">
        <v>10</v>
      </c>
      <c r="O50" s="20" t="s">
        <v>28</v>
      </c>
      <c r="P50" s="18" t="s">
        <v>29</v>
      </c>
      <c r="Q50" s="21" t="s">
        <v>30</v>
      </c>
    </row>
    <row r="51" spans="1:17">
      <c r="A51" s="38">
        <f>A44</f>
        <v>2</v>
      </c>
      <c r="B51" s="23">
        <f>B22</f>
        <v>0.2</v>
      </c>
      <c r="C51" s="23">
        <f t="shared" ref="C51:E54" si="50">C44</f>
        <v>0.2</v>
      </c>
      <c r="D51" s="22">
        <f t="shared" si="50"/>
        <v>0</v>
      </c>
      <c r="E51" s="24">
        <f t="shared" si="50"/>
        <v>0.1</v>
      </c>
      <c r="F51" s="30">
        <f>Q51*B51</f>
        <v>2.7934025104454141E-2</v>
      </c>
      <c r="G51" s="24">
        <f>G44</f>
        <v>0.71102680416920516</v>
      </c>
      <c r="H51" s="30">
        <f>Q51*C51</f>
        <v>2.7934025104454141E-2</v>
      </c>
      <c r="I51" s="24">
        <f>I44</f>
        <v>0.11873657607180213</v>
      </c>
      <c r="J51" s="30">
        <f>Q51</f>
        <v>0.1396701255222707</v>
      </c>
      <c r="K51" s="24">
        <f>E51*B51+G51*C51+I51</f>
        <v>0.28094193690564317</v>
      </c>
      <c r="L51" s="24">
        <f>L44</f>
        <v>0.5697771371770507</v>
      </c>
      <c r="M51" s="22">
        <f>IF(L51&gt;0.5,1,0)</f>
        <v>1</v>
      </c>
      <c r="N51" s="27">
        <f>N44</f>
        <v>0.24513115112737505</v>
      </c>
      <c r="O51" s="24">
        <f>(L51-D51)^2</f>
        <v>0.32464598604967565</v>
      </c>
      <c r="P51" s="28">
        <f>P44</f>
        <v>0.5697771371770507</v>
      </c>
      <c r="Q51" s="31">
        <f>P51*N51</f>
        <v>0.1396701255222707</v>
      </c>
    </row>
    <row r="52" spans="1:17">
      <c r="A52" s="38">
        <f>A45</f>
        <v>2</v>
      </c>
      <c r="B52" s="23">
        <f>B45</f>
        <v>0.5</v>
      </c>
      <c r="C52" s="23">
        <f t="shared" si="50"/>
        <v>0.1</v>
      </c>
      <c r="D52" s="22">
        <f t="shared" si="50"/>
        <v>0</v>
      </c>
      <c r="E52" s="24">
        <f t="shared" si="50"/>
        <v>0.1</v>
      </c>
      <c r="F52" s="30">
        <f t="shared" ref="F52:F54" si="51">Q52*B52</f>
        <v>6.8962757532827046E-2</v>
      </c>
      <c r="G52" s="24">
        <f>G45</f>
        <v>0.71102680416920516</v>
      </c>
      <c r="H52" s="30">
        <f t="shared" ref="H52:H54" si="52">Q52*C52</f>
        <v>1.379255150656541E-2</v>
      </c>
      <c r="I52" s="24">
        <f>I45</f>
        <v>0.11873657607180213</v>
      </c>
      <c r="J52" s="30">
        <f t="shared" ref="J52:J54" si="53">Q52</f>
        <v>0.13792551506565409</v>
      </c>
      <c r="K52" s="24">
        <f t="shared" ref="K52:K54" si="54">E52*B52+G52*C52+I52</f>
        <v>0.23983925648872265</v>
      </c>
      <c r="L52" s="24">
        <f>L45</f>
        <v>0.55967403617556777</v>
      </c>
      <c r="M52" s="22">
        <f t="shared" ref="M52:M54" si="55">IF(L52&gt;0.5,1,0)</f>
        <v>1</v>
      </c>
      <c r="N52" s="27">
        <f>N45</f>
        <v>0.24643900940651703</v>
      </c>
      <c r="O52" s="24">
        <f t="shared" ref="O52:O54" si="56">(L52-D52)^2</f>
        <v>0.31323502676905074</v>
      </c>
      <c r="P52" s="28">
        <f>P45</f>
        <v>0.55967403617556777</v>
      </c>
      <c r="Q52" s="31">
        <f t="shared" ref="Q52:Q54" si="57">P52*N52</f>
        <v>0.13792551506565409</v>
      </c>
    </row>
    <row r="53" spans="1:17">
      <c r="A53" s="38">
        <f>A46</f>
        <v>2</v>
      </c>
      <c r="B53" s="23">
        <f>B46</f>
        <v>0.5</v>
      </c>
      <c r="C53" s="23">
        <f t="shared" si="50"/>
        <v>0.8</v>
      </c>
      <c r="D53" s="22">
        <f t="shared" si="50"/>
        <v>1</v>
      </c>
      <c r="E53" s="24">
        <f t="shared" si="50"/>
        <v>0.1</v>
      </c>
      <c r="F53" s="30">
        <f t="shared" si="51"/>
        <v>-3.5405012739025833E-2</v>
      </c>
      <c r="G53" s="24">
        <f>G46</f>
        <v>0.71102680416920516</v>
      </c>
      <c r="H53" s="30">
        <f t="shared" si="52"/>
        <v>-5.6648020382441336E-2</v>
      </c>
      <c r="I53" s="24">
        <f>I46</f>
        <v>0.11873657607180213</v>
      </c>
      <c r="J53" s="30">
        <f t="shared" si="53"/>
        <v>-7.0810025478051666E-2</v>
      </c>
      <c r="K53" s="24">
        <f t="shared" si="54"/>
        <v>0.73755801940716625</v>
      </c>
      <c r="L53" s="24">
        <f>L46</f>
        <v>0.67646163168092921</v>
      </c>
      <c r="M53" s="22">
        <f t="shared" si="55"/>
        <v>1</v>
      </c>
      <c r="N53" s="27">
        <f>N46</f>
        <v>0.21886129254450409</v>
      </c>
      <c r="O53" s="24">
        <f t="shared" si="56"/>
        <v>0.10467707577456671</v>
      </c>
      <c r="P53" s="28">
        <f>P46</f>
        <v>-0.32353836831907079</v>
      </c>
      <c r="Q53" s="31">
        <f t="shared" si="57"/>
        <v>-7.0810025478051666E-2</v>
      </c>
    </row>
    <row r="54" spans="1:17">
      <c r="A54" s="38">
        <f>A47</f>
        <v>2</v>
      </c>
      <c r="B54" s="23">
        <f>B47</f>
        <v>1</v>
      </c>
      <c r="C54" s="23">
        <f t="shared" si="50"/>
        <v>0.9</v>
      </c>
      <c r="D54" s="22">
        <f t="shared" si="50"/>
        <v>1</v>
      </c>
      <c r="E54" s="24">
        <f t="shared" si="50"/>
        <v>0.1</v>
      </c>
      <c r="F54" s="30">
        <f t="shared" si="51"/>
        <v>-6.2214929421293585E-2</v>
      </c>
      <c r="G54" s="24">
        <f>G47</f>
        <v>0.71102680416920516</v>
      </c>
      <c r="H54" s="30">
        <f t="shared" si="52"/>
        <v>-5.599343647916423E-2</v>
      </c>
      <c r="I54" s="24">
        <f>I47</f>
        <v>0.11873657607180213</v>
      </c>
      <c r="J54" s="30">
        <f t="shared" si="53"/>
        <v>-6.2214929421293585E-2</v>
      </c>
      <c r="K54" s="24">
        <f t="shared" si="54"/>
        <v>0.85866069982408677</v>
      </c>
      <c r="L54" s="24">
        <f>L47</f>
        <v>0.70238076022674834</v>
      </c>
      <c r="M54" s="22">
        <f t="shared" si="55"/>
        <v>1</v>
      </c>
      <c r="N54" s="27">
        <f>N47</f>
        <v>0.20904202789004339</v>
      </c>
      <c r="O54" s="24">
        <f t="shared" si="56"/>
        <v>8.8577211883208259E-2</v>
      </c>
      <c r="P54" s="28">
        <f>P47</f>
        <v>-0.29761923977325166</v>
      </c>
      <c r="Q54" s="31">
        <f t="shared" si="57"/>
        <v>-6.2214929421293585E-2</v>
      </c>
    </row>
    <row r="56" spans="1:17">
      <c r="A56" s="35" t="s">
        <v>14</v>
      </c>
    </row>
    <row r="58" spans="1:17">
      <c r="B58" s="32"/>
      <c r="E58" s="33" t="s">
        <v>5</v>
      </c>
      <c r="G58" s="33" t="s">
        <v>6</v>
      </c>
      <c r="I58" s="33" t="s">
        <v>7</v>
      </c>
    </row>
    <row r="59" spans="1:17">
      <c r="E59" s="13">
        <f>E51-$B$1*AVERAGE(F51:F54)</f>
        <v>0.10361579761519116</v>
      </c>
      <c r="G59" s="13">
        <f>G51-$B$1*AVERAGE(H51:H54)</f>
        <v>1.0656012054221353</v>
      </c>
      <c r="I59" s="13">
        <f>I51-$B$1*AVERAGE(J51:J54)</f>
        <v>-0.60411685237109569</v>
      </c>
    </row>
    <row r="61" spans="1:17">
      <c r="A61" s="35" t="s">
        <v>9</v>
      </c>
    </row>
    <row r="63" spans="1:17" ht="22">
      <c r="A63" s="37" t="s">
        <v>8</v>
      </c>
      <c r="B63" s="16" t="s">
        <v>2</v>
      </c>
      <c r="C63" s="16" t="s">
        <v>3</v>
      </c>
      <c r="D63" s="15" t="s">
        <v>1</v>
      </c>
      <c r="E63" s="17" t="s">
        <v>5</v>
      </c>
      <c r="F63" s="18" t="s">
        <v>24</v>
      </c>
      <c r="G63" s="17" t="s">
        <v>6</v>
      </c>
      <c r="H63" s="18" t="s">
        <v>25</v>
      </c>
      <c r="I63" s="17" t="s">
        <v>7</v>
      </c>
      <c r="J63" s="18" t="s">
        <v>26</v>
      </c>
      <c r="K63" s="17" t="s">
        <v>4</v>
      </c>
      <c r="L63" s="17" t="s">
        <v>0</v>
      </c>
      <c r="M63" s="34" t="s">
        <v>15</v>
      </c>
      <c r="N63" s="17" t="s">
        <v>10</v>
      </c>
      <c r="O63" s="20" t="s">
        <v>28</v>
      </c>
      <c r="P63" s="18" t="s">
        <v>29</v>
      </c>
      <c r="Q63" s="21" t="s">
        <v>30</v>
      </c>
    </row>
    <row r="64" spans="1:17">
      <c r="A64" s="38">
        <v>2</v>
      </c>
      <c r="B64" s="23">
        <f t="shared" ref="B64:D67" si="58">B35</f>
        <v>0.2</v>
      </c>
      <c r="C64" s="23">
        <f t="shared" si="58"/>
        <v>0.2</v>
      </c>
      <c r="D64" s="23">
        <f t="shared" si="58"/>
        <v>0</v>
      </c>
      <c r="E64" s="24">
        <f>E59</f>
        <v>0.10361579761519116</v>
      </c>
      <c r="F64" s="24"/>
      <c r="G64" s="24">
        <f>G59</f>
        <v>1.0656012054221353</v>
      </c>
      <c r="H64" s="24"/>
      <c r="I64" s="24">
        <f>I59</f>
        <v>-0.60411685237109569</v>
      </c>
      <c r="J64" s="24"/>
      <c r="K64" s="24">
        <f>E64*B64+G64*C64+I64</f>
        <v>-0.37027345176363036</v>
      </c>
      <c r="L64" s="24">
        <f>1/(1+EXP(-K64))</f>
        <v>0.4084749476334083</v>
      </c>
      <c r="M64" s="22">
        <f>IF(L64&gt;0.5,1,0)</f>
        <v>0</v>
      </c>
      <c r="N64" s="24"/>
      <c r="O64" s="24">
        <f>0.5*(L64-D64)^2</f>
        <v>8.3425891422057821E-2</v>
      </c>
      <c r="P64" s="25"/>
      <c r="Q64" s="26"/>
    </row>
    <row r="65" spans="1:17">
      <c r="A65" s="38">
        <f>A64</f>
        <v>2</v>
      </c>
      <c r="B65" s="23">
        <f t="shared" si="58"/>
        <v>0.5</v>
      </c>
      <c r="C65" s="23">
        <f t="shared" si="58"/>
        <v>0.1</v>
      </c>
      <c r="D65" s="23">
        <f t="shared" si="58"/>
        <v>0</v>
      </c>
      <c r="E65" s="24">
        <f>E64</f>
        <v>0.10361579761519116</v>
      </c>
      <c r="F65" s="24"/>
      <c r="G65" s="24">
        <f>G64</f>
        <v>1.0656012054221353</v>
      </c>
      <c r="H65" s="24"/>
      <c r="I65" s="24">
        <f>I64</f>
        <v>-0.60411685237109569</v>
      </c>
      <c r="J65" s="24"/>
      <c r="K65" s="24">
        <f t="shared" ref="K65:K67" si="59">E65*B65+G65*C65+I65</f>
        <v>-0.44574883302128659</v>
      </c>
      <c r="L65" s="24">
        <f t="shared" ref="L65:L67" si="60">1/(1+EXP(-K65))</f>
        <v>0.39037199319360044</v>
      </c>
      <c r="M65" s="22">
        <f t="shared" ref="M65:M67" si="61">IF(L65&gt;0.5,1,0)</f>
        <v>0</v>
      </c>
      <c r="N65" s="24"/>
      <c r="O65" s="24">
        <f t="shared" ref="O65:O67" si="62">0.5*(L65-D65)^2</f>
        <v>7.6195146534972211E-2</v>
      </c>
      <c r="P65" s="25"/>
      <c r="Q65" s="26"/>
    </row>
    <row r="66" spans="1:17">
      <c r="A66" s="38">
        <f t="shared" ref="A66:A67" si="63">A65</f>
        <v>2</v>
      </c>
      <c r="B66" s="23">
        <f t="shared" si="58"/>
        <v>0.5</v>
      </c>
      <c r="C66" s="23">
        <f t="shared" si="58"/>
        <v>0.8</v>
      </c>
      <c r="D66" s="23">
        <f t="shared" si="58"/>
        <v>1</v>
      </c>
      <c r="E66" s="24">
        <f t="shared" ref="E66:E67" si="64">E65</f>
        <v>0.10361579761519116</v>
      </c>
      <c r="F66" s="24"/>
      <c r="G66" s="24">
        <f t="shared" ref="G66:G67" si="65">G65</f>
        <v>1.0656012054221353</v>
      </c>
      <c r="H66" s="24"/>
      <c r="I66" s="24">
        <f t="shared" ref="I66:I67" si="66">I65</f>
        <v>-0.60411685237109569</v>
      </c>
      <c r="J66" s="24"/>
      <c r="K66" s="24">
        <f t="shared" si="59"/>
        <v>0.30017201077420819</v>
      </c>
      <c r="L66" s="24">
        <f t="shared" si="60"/>
        <v>0.57448456573657802</v>
      </c>
      <c r="M66" s="22">
        <f t="shared" si="61"/>
        <v>1</v>
      </c>
      <c r="N66" s="24"/>
      <c r="O66" s="24">
        <f t="shared" si="62"/>
        <v>9.0531692398194294E-2</v>
      </c>
      <c r="P66" s="25"/>
      <c r="Q66" s="26"/>
    </row>
    <row r="67" spans="1:17">
      <c r="A67" s="38">
        <f t="shared" si="63"/>
        <v>2</v>
      </c>
      <c r="B67" s="23">
        <f t="shared" si="58"/>
        <v>1</v>
      </c>
      <c r="C67" s="23">
        <f t="shared" si="58"/>
        <v>0.9</v>
      </c>
      <c r="D67" s="23">
        <f t="shared" si="58"/>
        <v>1</v>
      </c>
      <c r="E67" s="24">
        <f t="shared" si="64"/>
        <v>0.10361579761519116</v>
      </c>
      <c r="F67" s="24"/>
      <c r="G67" s="24">
        <f t="shared" si="65"/>
        <v>1.0656012054221353</v>
      </c>
      <c r="H67" s="24"/>
      <c r="I67" s="24">
        <f t="shared" si="66"/>
        <v>-0.60411685237109569</v>
      </c>
      <c r="J67" s="24"/>
      <c r="K67" s="24">
        <f t="shared" si="59"/>
        <v>0.45854003012401734</v>
      </c>
      <c r="L67" s="24">
        <f t="shared" si="60"/>
        <v>0.61266777360949254</v>
      </c>
      <c r="M67" s="22">
        <f t="shared" si="61"/>
        <v>1</v>
      </c>
      <c r="N67" s="24"/>
      <c r="O67" s="24">
        <f t="shared" si="62"/>
        <v>7.5013126800313662E-2</v>
      </c>
      <c r="P67" s="25"/>
      <c r="Q67" s="26"/>
    </row>
    <row r="68" spans="1:17">
      <c r="E68" s="13" t="s">
        <v>16</v>
      </c>
    </row>
    <row r="69" spans="1:17">
      <c r="O69" s="13">
        <f>AVERAGE(O73:O76)</f>
        <v>8.1291464288884507E-2</v>
      </c>
      <c r="P69" s="12" t="s">
        <v>13</v>
      </c>
    </row>
    <row r="70" spans="1:17">
      <c r="A70" s="35" t="s">
        <v>12</v>
      </c>
    </row>
    <row r="72" spans="1:17" ht="22">
      <c r="A72" s="37" t="s">
        <v>8</v>
      </c>
      <c r="B72" s="16" t="s">
        <v>2</v>
      </c>
      <c r="C72" s="16" t="s">
        <v>3</v>
      </c>
      <c r="D72" s="15" t="s">
        <v>1</v>
      </c>
      <c r="E72" s="17" t="s">
        <v>5</v>
      </c>
      <c r="F72" s="18" t="s">
        <v>24</v>
      </c>
      <c r="G72" s="17" t="s">
        <v>6</v>
      </c>
      <c r="H72" s="18" t="s">
        <v>25</v>
      </c>
      <c r="I72" s="17" t="s">
        <v>7</v>
      </c>
      <c r="J72" s="18" t="s">
        <v>26</v>
      </c>
      <c r="K72" s="17" t="s">
        <v>4</v>
      </c>
      <c r="L72" s="17" t="s">
        <v>0</v>
      </c>
      <c r="M72" s="34" t="s">
        <v>15</v>
      </c>
      <c r="N72" s="17" t="s">
        <v>10</v>
      </c>
      <c r="O72" s="20" t="s">
        <v>28</v>
      </c>
      <c r="P72" s="18" t="s">
        <v>29</v>
      </c>
      <c r="Q72" s="21" t="s">
        <v>30</v>
      </c>
    </row>
    <row r="73" spans="1:17">
      <c r="A73" s="38">
        <f>A64</f>
        <v>2</v>
      </c>
      <c r="B73" s="23">
        <f t="shared" ref="B73:D76" si="67">B44</f>
        <v>0.2</v>
      </c>
      <c r="C73" s="23">
        <f t="shared" si="67"/>
        <v>0.2</v>
      </c>
      <c r="D73" s="23">
        <f t="shared" si="67"/>
        <v>0</v>
      </c>
      <c r="E73" s="24">
        <f t="shared" ref="E73" si="68">E64</f>
        <v>0.10361579761519116</v>
      </c>
      <c r="F73" s="24"/>
      <c r="G73" s="24">
        <f>G64</f>
        <v>1.0656012054221353</v>
      </c>
      <c r="H73" s="24"/>
      <c r="I73" s="24">
        <f>I64</f>
        <v>-0.60411685237109569</v>
      </c>
      <c r="J73" s="24"/>
      <c r="K73" s="24">
        <f>E73*B73+G73*C73+I73</f>
        <v>-0.37027345176363036</v>
      </c>
      <c r="L73" s="24">
        <f>L64</f>
        <v>0.4084749476334083</v>
      </c>
      <c r="M73" s="22">
        <f>IF(L73&gt;0.5,1,0)</f>
        <v>0</v>
      </c>
      <c r="N73" s="27">
        <f>L73*(1-L73)</f>
        <v>0.24162316478929266</v>
      </c>
      <c r="O73" s="24">
        <f>O64</f>
        <v>8.3425891422057821E-2</v>
      </c>
      <c r="P73" s="28">
        <f>(L73-D73)</f>
        <v>0.4084749476334083</v>
      </c>
      <c r="Q73" s="29"/>
    </row>
    <row r="74" spans="1:17">
      <c r="A74" s="38">
        <f t="shared" ref="A74" si="69">A65</f>
        <v>2</v>
      </c>
      <c r="B74" s="23">
        <f t="shared" si="67"/>
        <v>0.5</v>
      </c>
      <c r="C74" s="23">
        <f t="shared" si="67"/>
        <v>0.1</v>
      </c>
      <c r="D74" s="23">
        <f t="shared" si="67"/>
        <v>0</v>
      </c>
      <c r="E74" s="24">
        <f t="shared" ref="E74:E76" si="70">E73</f>
        <v>0.10361579761519116</v>
      </c>
      <c r="F74" s="24"/>
      <c r="G74" s="24">
        <f t="shared" ref="G74:G76" si="71">G73</f>
        <v>1.0656012054221353</v>
      </c>
      <c r="H74" s="24"/>
      <c r="I74" s="24">
        <f t="shared" ref="I74:I76" si="72">I73</f>
        <v>-0.60411685237109569</v>
      </c>
      <c r="J74" s="24"/>
      <c r="K74" s="24">
        <f t="shared" ref="K74:K76" si="73">E74*B74+G74*C74+I74</f>
        <v>-0.44574883302128659</v>
      </c>
      <c r="L74" s="24">
        <f t="shared" ref="L74:L76" si="74">L65</f>
        <v>0.39037199319360044</v>
      </c>
      <c r="M74" s="22">
        <f t="shared" ref="M74:M76" si="75">IF(L74&gt;0.5,1,0)</f>
        <v>0</v>
      </c>
      <c r="N74" s="27">
        <f t="shared" ref="N74:N76" si="76">L74*(1-L74)</f>
        <v>0.23798170012365599</v>
      </c>
      <c r="O74" s="24">
        <f>O65</f>
        <v>7.6195146534972211E-2</v>
      </c>
      <c r="P74" s="28">
        <f t="shared" ref="P74:P76" si="77">(L74-D74)</f>
        <v>0.39037199319360044</v>
      </c>
      <c r="Q74" s="29"/>
    </row>
    <row r="75" spans="1:17">
      <c r="A75" s="38">
        <f t="shared" ref="A75" si="78">A66</f>
        <v>2</v>
      </c>
      <c r="B75" s="23">
        <f t="shared" si="67"/>
        <v>0.5</v>
      </c>
      <c r="C75" s="23">
        <f t="shared" si="67"/>
        <v>0.8</v>
      </c>
      <c r="D75" s="23">
        <f t="shared" si="67"/>
        <v>1</v>
      </c>
      <c r="E75" s="24">
        <f t="shared" si="70"/>
        <v>0.10361579761519116</v>
      </c>
      <c r="F75" s="24"/>
      <c r="G75" s="24">
        <f t="shared" si="71"/>
        <v>1.0656012054221353</v>
      </c>
      <c r="H75" s="24"/>
      <c r="I75" s="24">
        <f t="shared" si="72"/>
        <v>-0.60411685237109569</v>
      </c>
      <c r="J75" s="24"/>
      <c r="K75" s="24">
        <f t="shared" si="73"/>
        <v>0.30017201077420819</v>
      </c>
      <c r="L75" s="24">
        <f t="shared" si="74"/>
        <v>0.57448456573657802</v>
      </c>
      <c r="M75" s="22">
        <f t="shared" si="75"/>
        <v>1</v>
      </c>
      <c r="N75" s="27">
        <f t="shared" si="76"/>
        <v>0.24445204946703339</v>
      </c>
      <c r="O75" s="24">
        <f>O66</f>
        <v>9.0531692398194294E-2</v>
      </c>
      <c r="P75" s="28">
        <f t="shared" si="77"/>
        <v>-0.42551543426342198</v>
      </c>
      <c r="Q75" s="29"/>
    </row>
    <row r="76" spans="1:17">
      <c r="A76" s="38">
        <f t="shared" ref="A76" si="79">A67</f>
        <v>2</v>
      </c>
      <c r="B76" s="23">
        <f t="shared" si="67"/>
        <v>1</v>
      </c>
      <c r="C76" s="23">
        <f t="shared" si="67"/>
        <v>0.9</v>
      </c>
      <c r="D76" s="23">
        <f t="shared" si="67"/>
        <v>1</v>
      </c>
      <c r="E76" s="24">
        <f t="shared" si="70"/>
        <v>0.10361579761519116</v>
      </c>
      <c r="F76" s="24"/>
      <c r="G76" s="24">
        <f t="shared" si="71"/>
        <v>1.0656012054221353</v>
      </c>
      <c r="H76" s="24"/>
      <c r="I76" s="24">
        <f t="shared" si="72"/>
        <v>-0.60411685237109569</v>
      </c>
      <c r="J76" s="24"/>
      <c r="K76" s="24">
        <f t="shared" si="73"/>
        <v>0.45854003012401734</v>
      </c>
      <c r="L76" s="24">
        <f t="shared" si="74"/>
        <v>0.61266777360949254</v>
      </c>
      <c r="M76" s="22">
        <f t="shared" si="75"/>
        <v>1</v>
      </c>
      <c r="N76" s="27">
        <f t="shared" si="76"/>
        <v>0.23730597278988014</v>
      </c>
      <c r="O76" s="24">
        <f>O67</f>
        <v>7.5013126800313662E-2</v>
      </c>
      <c r="P76" s="28">
        <f t="shared" si="77"/>
        <v>-0.38733222639050746</v>
      </c>
      <c r="Q76" s="29"/>
    </row>
    <row r="79" spans="1:17" ht="22">
      <c r="A79" s="37" t="s">
        <v>8</v>
      </c>
      <c r="B79" s="16" t="s">
        <v>2</v>
      </c>
      <c r="C79" s="16" t="s">
        <v>3</v>
      </c>
      <c r="D79" s="15" t="s">
        <v>1</v>
      </c>
      <c r="E79" s="17" t="s">
        <v>5</v>
      </c>
      <c r="F79" s="18" t="s">
        <v>24</v>
      </c>
      <c r="G79" s="17" t="s">
        <v>6</v>
      </c>
      <c r="H79" s="18" t="s">
        <v>25</v>
      </c>
      <c r="I79" s="17" t="s">
        <v>7</v>
      </c>
      <c r="J79" s="18" t="s">
        <v>26</v>
      </c>
      <c r="K79" s="17" t="s">
        <v>4</v>
      </c>
      <c r="L79" s="17" t="s">
        <v>0</v>
      </c>
      <c r="M79" s="34" t="s">
        <v>15</v>
      </c>
      <c r="N79" s="17" t="s">
        <v>10</v>
      </c>
      <c r="O79" s="20" t="s">
        <v>28</v>
      </c>
      <c r="P79" s="18" t="s">
        <v>29</v>
      </c>
      <c r="Q79" s="21" t="s">
        <v>30</v>
      </c>
    </row>
    <row r="80" spans="1:17">
      <c r="A80" s="38">
        <f>A73</f>
        <v>2</v>
      </c>
      <c r="B80" s="23">
        <f t="shared" ref="B80:D83" si="80">B51</f>
        <v>0.2</v>
      </c>
      <c r="C80" s="23">
        <f t="shared" si="80"/>
        <v>0.2</v>
      </c>
      <c r="D80" s="23">
        <f t="shared" si="80"/>
        <v>0</v>
      </c>
      <c r="E80" s="24">
        <f>E73</f>
        <v>0.10361579761519116</v>
      </c>
      <c r="F80" s="30">
        <f>Q80*B80</f>
        <v>1.9739401916864942E-2</v>
      </c>
      <c r="G80" s="24">
        <f>G73</f>
        <v>1.0656012054221353</v>
      </c>
      <c r="H80" s="30">
        <f>Q80*C80</f>
        <v>1.9739401916864942E-2</v>
      </c>
      <c r="I80" s="24">
        <f>I73</f>
        <v>-0.60411685237109569</v>
      </c>
      <c r="J80" s="30">
        <f>Q80</f>
        <v>9.8697009584324702E-2</v>
      </c>
      <c r="K80" s="24">
        <f>E80*B80+G80*C80+I80</f>
        <v>-0.37027345176363036</v>
      </c>
      <c r="L80" s="24">
        <f>L73</f>
        <v>0.4084749476334083</v>
      </c>
      <c r="M80" s="22">
        <f>IF(L80&gt;0.5,1,0)</f>
        <v>0</v>
      </c>
      <c r="N80" s="27">
        <f>N73</f>
        <v>0.24162316478929266</v>
      </c>
      <c r="O80" s="24">
        <f>(L80-D80)^2</f>
        <v>0.16685178284411564</v>
      </c>
      <c r="P80" s="28">
        <f>P73</f>
        <v>0.4084749476334083</v>
      </c>
      <c r="Q80" s="31">
        <f>P80*N80</f>
        <v>9.8697009584324702E-2</v>
      </c>
    </row>
    <row r="81" spans="1:17">
      <c r="A81" s="38">
        <f>A74</f>
        <v>2</v>
      </c>
      <c r="B81" s="23">
        <f t="shared" si="80"/>
        <v>0.5</v>
      </c>
      <c r="C81" s="23">
        <f t="shared" si="80"/>
        <v>0.1</v>
      </c>
      <c r="D81" s="23">
        <f t="shared" si="80"/>
        <v>0</v>
      </c>
      <c r="E81" s="24">
        <f>E74</f>
        <v>0.10361579761519116</v>
      </c>
      <c r="F81" s="30">
        <f t="shared" ref="F81:F83" si="81">Q81*B81</f>
        <v>4.6450695310436649E-2</v>
      </c>
      <c r="G81" s="24">
        <f>G74</f>
        <v>1.0656012054221353</v>
      </c>
      <c r="H81" s="30">
        <f t="shared" ref="H81:H83" si="82">Q81*C81</f>
        <v>9.2901390620873294E-3</v>
      </c>
      <c r="I81" s="24">
        <f>I74</f>
        <v>-0.60411685237109569</v>
      </c>
      <c r="J81" s="30">
        <f t="shared" ref="J81:J83" si="83">Q81</f>
        <v>9.2901390620873298E-2</v>
      </c>
      <c r="K81" s="24">
        <f t="shared" ref="K81:K83" si="84">E81*B81+G81*C81+I81</f>
        <v>-0.44574883302128659</v>
      </c>
      <c r="L81" s="24">
        <f>L74</f>
        <v>0.39037199319360044</v>
      </c>
      <c r="M81" s="22">
        <f t="shared" ref="M81:M83" si="85">IF(L81&gt;0.5,1,0)</f>
        <v>0</v>
      </c>
      <c r="N81" s="27">
        <f>N74</f>
        <v>0.23798170012365599</v>
      </c>
      <c r="O81" s="24">
        <f t="shared" ref="O81:O83" si="86">(L81-D81)^2</f>
        <v>0.15239029306994442</v>
      </c>
      <c r="P81" s="28">
        <f>P74</f>
        <v>0.39037199319360044</v>
      </c>
      <c r="Q81" s="31">
        <f t="shared" ref="Q81:Q83" si="87">P81*N81</f>
        <v>9.2901390620873298E-2</v>
      </c>
    </row>
    <row r="82" spans="1:17">
      <c r="A82" s="38">
        <f>A75</f>
        <v>2</v>
      </c>
      <c r="B82" s="23">
        <f t="shared" si="80"/>
        <v>0.5</v>
      </c>
      <c r="C82" s="23">
        <f t="shared" si="80"/>
        <v>0.8</v>
      </c>
      <c r="D82" s="23">
        <f t="shared" si="80"/>
        <v>1</v>
      </c>
      <c r="E82" s="24">
        <f>E75</f>
        <v>0.10361579761519116</v>
      </c>
      <c r="F82" s="30">
        <f t="shared" si="81"/>
        <v>-5.2009059992774109E-2</v>
      </c>
      <c r="G82" s="24">
        <f>G75</f>
        <v>1.0656012054221353</v>
      </c>
      <c r="H82" s="30">
        <f t="shared" si="82"/>
        <v>-8.321449598843858E-2</v>
      </c>
      <c r="I82" s="24">
        <f>I75</f>
        <v>-0.60411685237109569</v>
      </c>
      <c r="J82" s="30">
        <f t="shared" si="83"/>
        <v>-0.10401811998554822</v>
      </c>
      <c r="K82" s="24">
        <f t="shared" si="84"/>
        <v>0.30017201077420819</v>
      </c>
      <c r="L82" s="24">
        <f>L75</f>
        <v>0.57448456573657802</v>
      </c>
      <c r="M82" s="22">
        <f t="shared" si="85"/>
        <v>1</v>
      </c>
      <c r="N82" s="27">
        <f>N75</f>
        <v>0.24445204946703339</v>
      </c>
      <c r="O82" s="24">
        <f t="shared" si="86"/>
        <v>0.18106338479638859</v>
      </c>
      <c r="P82" s="28">
        <f>P75</f>
        <v>-0.42551543426342198</v>
      </c>
      <c r="Q82" s="31">
        <f t="shared" si="87"/>
        <v>-0.10401811998554822</v>
      </c>
    </row>
    <row r="83" spans="1:17">
      <c r="A83" s="38">
        <f>A76</f>
        <v>2</v>
      </c>
      <c r="B83" s="23">
        <f t="shared" si="80"/>
        <v>1</v>
      </c>
      <c r="C83" s="23">
        <f t="shared" si="80"/>
        <v>0.9</v>
      </c>
      <c r="D83" s="23">
        <f t="shared" si="80"/>
        <v>1</v>
      </c>
      <c r="E83" s="24">
        <f>E76</f>
        <v>0.10361579761519116</v>
      </c>
      <c r="F83" s="30">
        <f t="shared" si="81"/>
        <v>-9.1916250776469463E-2</v>
      </c>
      <c r="G83" s="24">
        <f>G76</f>
        <v>1.0656012054221353</v>
      </c>
      <c r="H83" s="30">
        <f t="shared" si="82"/>
        <v>-8.2724625698822524E-2</v>
      </c>
      <c r="I83" s="24">
        <f>I76</f>
        <v>-0.60411685237109569</v>
      </c>
      <c r="J83" s="30">
        <f t="shared" si="83"/>
        <v>-9.1916250776469463E-2</v>
      </c>
      <c r="K83" s="24">
        <f t="shared" si="84"/>
        <v>0.45854003012401734</v>
      </c>
      <c r="L83" s="24">
        <f>L76</f>
        <v>0.61266777360949254</v>
      </c>
      <c r="M83" s="22">
        <f t="shared" si="85"/>
        <v>1</v>
      </c>
      <c r="N83" s="27">
        <f>N76</f>
        <v>0.23730597278988014</v>
      </c>
      <c r="O83" s="24">
        <f t="shared" si="86"/>
        <v>0.15002625360062732</v>
      </c>
      <c r="P83" s="28">
        <f>P76</f>
        <v>-0.38733222639050746</v>
      </c>
      <c r="Q83" s="31">
        <f t="shared" si="87"/>
        <v>-9.1916250776469463E-2</v>
      </c>
    </row>
    <row r="85" spans="1:17">
      <c r="A85" s="35" t="s">
        <v>14</v>
      </c>
    </row>
    <row r="87" spans="1:17">
      <c r="B87" s="32"/>
      <c r="E87" s="33" t="s">
        <v>5</v>
      </c>
      <c r="G87" s="33" t="s">
        <v>6</v>
      </c>
      <c r="I87" s="33" t="s">
        <v>7</v>
      </c>
    </row>
    <row r="88" spans="1:17">
      <c r="E88" s="13">
        <f>E80-$B$1*AVERAGE(F80:F83)</f>
        <v>0.49229186532490099</v>
      </c>
      <c r="G88" s="13">
        <f>G80-$B$1*AVERAGE(H80:H83)</f>
        <v>1.7501491089636794</v>
      </c>
      <c r="I88" s="13">
        <f>I80-$B$1*AVERAGE(J80:J83)</f>
        <v>-0.58243699958699724</v>
      </c>
    </row>
    <row r="90" spans="1:17">
      <c r="A90" s="35" t="s">
        <v>9</v>
      </c>
    </row>
    <row r="92" spans="1:17" ht="22">
      <c r="A92" s="37" t="s">
        <v>8</v>
      </c>
      <c r="B92" s="16" t="s">
        <v>2</v>
      </c>
      <c r="C92" s="16" t="s">
        <v>3</v>
      </c>
      <c r="D92" s="15" t="s">
        <v>1</v>
      </c>
      <c r="E92" s="17" t="s">
        <v>5</v>
      </c>
      <c r="F92" s="18" t="s">
        <v>24</v>
      </c>
      <c r="G92" s="17" t="s">
        <v>6</v>
      </c>
      <c r="H92" s="18" t="s">
        <v>25</v>
      </c>
      <c r="I92" s="17" t="s">
        <v>7</v>
      </c>
      <c r="J92" s="18" t="s">
        <v>26</v>
      </c>
      <c r="K92" s="17" t="s">
        <v>4</v>
      </c>
      <c r="L92" s="17" t="s">
        <v>0</v>
      </c>
      <c r="M92" s="34" t="s">
        <v>15</v>
      </c>
      <c r="N92" s="17" t="s">
        <v>10</v>
      </c>
      <c r="O92" s="20" t="s">
        <v>28</v>
      </c>
      <c r="P92" s="18" t="s">
        <v>29</v>
      </c>
      <c r="Q92" s="21" t="s">
        <v>30</v>
      </c>
    </row>
    <row r="93" spans="1:17">
      <c r="A93" s="38">
        <f>A64+1</f>
        <v>3</v>
      </c>
      <c r="B93" s="23">
        <f t="shared" ref="B93:D96" si="88">B64</f>
        <v>0.2</v>
      </c>
      <c r="C93" s="23">
        <f t="shared" si="88"/>
        <v>0.2</v>
      </c>
      <c r="D93" s="23">
        <f t="shared" si="88"/>
        <v>0</v>
      </c>
      <c r="E93" s="24">
        <f>E88</f>
        <v>0.49229186532490099</v>
      </c>
      <c r="F93" s="24"/>
      <c r="G93" s="24">
        <f>G88</f>
        <v>1.7501491089636794</v>
      </c>
      <c r="H93" s="24"/>
      <c r="I93" s="24">
        <f>I88</f>
        <v>-0.58243699958699724</v>
      </c>
      <c r="J93" s="24"/>
      <c r="K93" s="24">
        <f>E93*B93+G93*C93+I93</f>
        <v>-0.13394880472928117</v>
      </c>
      <c r="L93" s="24">
        <f>1/(1+EXP(-K93))</f>
        <v>0.46656277887868031</v>
      </c>
      <c r="M93" s="22">
        <f>IF(L93&gt;0.5,1,0)</f>
        <v>0</v>
      </c>
      <c r="N93" s="24"/>
      <c r="O93" s="24">
        <f>0.5*(L93-D93)^2</f>
        <v>0.10884041331749816</v>
      </c>
      <c r="P93" s="25"/>
      <c r="Q93" s="26"/>
    </row>
    <row r="94" spans="1:17">
      <c r="A94" s="38">
        <f>A93</f>
        <v>3</v>
      </c>
      <c r="B94" s="23">
        <f t="shared" si="88"/>
        <v>0.5</v>
      </c>
      <c r="C94" s="23">
        <f t="shared" si="88"/>
        <v>0.1</v>
      </c>
      <c r="D94" s="23">
        <f t="shared" si="88"/>
        <v>0</v>
      </c>
      <c r="E94" s="24">
        <f>E93</f>
        <v>0.49229186532490099</v>
      </c>
      <c r="F94" s="24"/>
      <c r="G94" s="24">
        <f>G93</f>
        <v>1.7501491089636794</v>
      </c>
      <c r="H94" s="24"/>
      <c r="I94" s="24">
        <f>I93</f>
        <v>-0.58243699958699724</v>
      </c>
      <c r="J94" s="24"/>
      <c r="K94" s="24">
        <f t="shared" ref="K94:K96" si="89">E94*B94+G94*C94+I94</f>
        <v>-0.1612761560281788</v>
      </c>
      <c r="L94" s="24">
        <f t="shared" ref="L94:L96" si="90">1/(1+EXP(-K94))</f>
        <v>0.45976812579635151</v>
      </c>
      <c r="M94" s="22">
        <f t="shared" ref="M94:M96" si="91">IF(L94&gt;0.5,1,0)</f>
        <v>0</v>
      </c>
      <c r="N94" s="24"/>
      <c r="O94" s="24">
        <f t="shared" ref="O94:O96" si="92">0.5*(L94-D94)^2</f>
        <v>0.10569336474914486</v>
      </c>
      <c r="P94" s="25"/>
      <c r="Q94" s="26"/>
    </row>
    <row r="95" spans="1:17">
      <c r="A95" s="38">
        <f t="shared" ref="A95:A96" si="93">A94</f>
        <v>3</v>
      </c>
      <c r="B95" s="23">
        <f t="shared" si="88"/>
        <v>0.5</v>
      </c>
      <c r="C95" s="23">
        <f t="shared" si="88"/>
        <v>0.8</v>
      </c>
      <c r="D95" s="23">
        <f t="shared" si="88"/>
        <v>1</v>
      </c>
      <c r="E95" s="24">
        <f t="shared" ref="E95:E96" si="94">E94</f>
        <v>0.49229186532490099</v>
      </c>
      <c r="F95" s="24"/>
      <c r="G95" s="24">
        <f t="shared" ref="G95:G96" si="95">G94</f>
        <v>1.7501491089636794</v>
      </c>
      <c r="H95" s="24"/>
      <c r="I95" s="24">
        <f t="shared" ref="I95:I96" si="96">I94</f>
        <v>-0.58243699958699724</v>
      </c>
      <c r="J95" s="24"/>
      <c r="K95" s="24">
        <f t="shared" si="89"/>
        <v>1.0638282202463967</v>
      </c>
      <c r="L95" s="24">
        <f t="shared" si="90"/>
        <v>0.74342144321543624</v>
      </c>
      <c r="M95" s="22">
        <f t="shared" si="91"/>
        <v>1</v>
      </c>
      <c r="N95" s="24"/>
      <c r="O95" s="24">
        <f t="shared" si="92"/>
        <v>3.2916277900824804E-2</v>
      </c>
      <c r="P95" s="25"/>
      <c r="Q95" s="26"/>
    </row>
    <row r="96" spans="1:17">
      <c r="A96" s="38">
        <f t="shared" si="93"/>
        <v>3</v>
      </c>
      <c r="B96" s="23">
        <f t="shared" si="88"/>
        <v>1</v>
      </c>
      <c r="C96" s="23">
        <f t="shared" si="88"/>
        <v>0.9</v>
      </c>
      <c r="D96" s="23">
        <f t="shared" si="88"/>
        <v>1</v>
      </c>
      <c r="E96" s="24">
        <f t="shared" si="94"/>
        <v>0.49229186532490099</v>
      </c>
      <c r="F96" s="24"/>
      <c r="G96" s="24">
        <f t="shared" si="95"/>
        <v>1.7501491089636794</v>
      </c>
      <c r="H96" s="24"/>
      <c r="I96" s="24">
        <f t="shared" si="96"/>
        <v>-0.58243699958699724</v>
      </c>
      <c r="J96" s="24"/>
      <c r="K96" s="24">
        <f t="shared" si="89"/>
        <v>1.4849890638052154</v>
      </c>
      <c r="L96" s="24">
        <f t="shared" si="90"/>
        <v>0.81532496694410572</v>
      </c>
      <c r="M96" s="22">
        <f t="shared" si="91"/>
        <v>1</v>
      </c>
      <c r="N96" s="24"/>
      <c r="O96" s="24">
        <f t="shared" si="92"/>
        <v>1.7052433917097824E-2</v>
      </c>
      <c r="P96" s="25"/>
      <c r="Q96" s="26"/>
    </row>
    <row r="97" spans="1:17">
      <c r="E97" s="13" t="s">
        <v>16</v>
      </c>
    </row>
    <row r="98" spans="1:17">
      <c r="O98" s="13">
        <f>AVERAGE(O102:O105)</f>
        <v>6.6125622471141413E-2</v>
      </c>
      <c r="P98" s="12" t="s">
        <v>13</v>
      </c>
    </row>
    <row r="99" spans="1:17">
      <c r="A99" s="35" t="s">
        <v>12</v>
      </c>
    </row>
    <row r="101" spans="1:17" ht="22">
      <c r="A101" s="37" t="s">
        <v>8</v>
      </c>
      <c r="B101" s="16" t="s">
        <v>2</v>
      </c>
      <c r="C101" s="16" t="s">
        <v>3</v>
      </c>
      <c r="D101" s="15" t="s">
        <v>1</v>
      </c>
      <c r="E101" s="17" t="s">
        <v>5</v>
      </c>
      <c r="F101" s="18" t="s">
        <v>24</v>
      </c>
      <c r="G101" s="17" t="s">
        <v>6</v>
      </c>
      <c r="H101" s="18" t="s">
        <v>25</v>
      </c>
      <c r="I101" s="17" t="s">
        <v>7</v>
      </c>
      <c r="J101" s="18" t="s">
        <v>26</v>
      </c>
      <c r="K101" s="17" t="s">
        <v>4</v>
      </c>
      <c r="L101" s="17" t="s">
        <v>0</v>
      </c>
      <c r="M101" s="34" t="s">
        <v>15</v>
      </c>
      <c r="N101" s="17" t="s">
        <v>10</v>
      </c>
      <c r="O101" s="20" t="s">
        <v>28</v>
      </c>
      <c r="P101" s="18" t="s">
        <v>29</v>
      </c>
      <c r="Q101" s="21" t="s">
        <v>30</v>
      </c>
    </row>
    <row r="102" spans="1:17">
      <c r="A102" s="38">
        <f>A93</f>
        <v>3</v>
      </c>
      <c r="B102" s="23">
        <f t="shared" ref="B102:E102" si="97">B93</f>
        <v>0.2</v>
      </c>
      <c r="C102" s="23">
        <f t="shared" si="97"/>
        <v>0.2</v>
      </c>
      <c r="D102" s="22">
        <f t="shared" si="97"/>
        <v>0</v>
      </c>
      <c r="E102" s="24">
        <f t="shared" si="97"/>
        <v>0.49229186532490099</v>
      </c>
      <c r="F102" s="24"/>
      <c r="G102" s="24">
        <f>G93</f>
        <v>1.7501491089636794</v>
      </c>
      <c r="H102" s="24"/>
      <c r="I102" s="24">
        <f>I93</f>
        <v>-0.58243699958699724</v>
      </c>
      <c r="J102" s="24"/>
      <c r="K102" s="24">
        <f>E102*B102+G102*C102+I102</f>
        <v>-0.13394880472928117</v>
      </c>
      <c r="L102" s="24">
        <f>L93</f>
        <v>0.46656277887868031</v>
      </c>
      <c r="M102" s="22">
        <f>IF(L102&gt;0.5,1,0)</f>
        <v>0</v>
      </c>
      <c r="N102" s="27">
        <f>L102*(1-L102)</f>
        <v>0.24888195224368395</v>
      </c>
      <c r="O102" s="24">
        <f>O93</f>
        <v>0.10884041331749816</v>
      </c>
      <c r="P102" s="28">
        <f>(L102-D102)</f>
        <v>0.46656277887868031</v>
      </c>
      <c r="Q102" s="29"/>
    </row>
    <row r="103" spans="1:17">
      <c r="A103" s="38">
        <f t="shared" ref="A103:D103" si="98">A94</f>
        <v>3</v>
      </c>
      <c r="B103" s="23">
        <f t="shared" si="98"/>
        <v>0.5</v>
      </c>
      <c r="C103" s="23">
        <f t="shared" si="98"/>
        <v>0.1</v>
      </c>
      <c r="D103" s="22">
        <f t="shared" si="98"/>
        <v>0</v>
      </c>
      <c r="E103" s="24">
        <f t="shared" ref="E103:E105" si="99">E102</f>
        <v>0.49229186532490099</v>
      </c>
      <c r="F103" s="24"/>
      <c r="G103" s="24">
        <f t="shared" ref="G103:G105" si="100">G102</f>
        <v>1.7501491089636794</v>
      </c>
      <c r="H103" s="24"/>
      <c r="I103" s="24">
        <f t="shared" ref="I103:I105" si="101">I102</f>
        <v>-0.58243699958699724</v>
      </c>
      <c r="J103" s="24"/>
      <c r="K103" s="24">
        <f t="shared" ref="K103:K105" si="102">E103*B103+G103*C103+I103</f>
        <v>-0.1612761560281788</v>
      </c>
      <c r="L103" s="24">
        <f t="shared" ref="L103:L105" si="103">L94</f>
        <v>0.45976812579635151</v>
      </c>
      <c r="M103" s="22">
        <f t="shared" ref="M103:M105" si="104">IF(L103&gt;0.5,1,0)</f>
        <v>0</v>
      </c>
      <c r="N103" s="27">
        <f t="shared" ref="N103:N105" si="105">L103*(1-L103)</f>
        <v>0.2483813962980618</v>
      </c>
      <c r="O103" s="24">
        <f>O94</f>
        <v>0.10569336474914486</v>
      </c>
      <c r="P103" s="28">
        <f t="shared" ref="P103:P105" si="106">(L103-D103)</f>
        <v>0.45976812579635151</v>
      </c>
      <c r="Q103" s="29"/>
    </row>
    <row r="104" spans="1:17">
      <c r="A104" s="38">
        <f t="shared" ref="A104:D104" si="107">A95</f>
        <v>3</v>
      </c>
      <c r="B104" s="23">
        <f t="shared" si="107"/>
        <v>0.5</v>
      </c>
      <c r="C104" s="23">
        <f t="shared" si="107"/>
        <v>0.8</v>
      </c>
      <c r="D104" s="22">
        <f t="shared" si="107"/>
        <v>1</v>
      </c>
      <c r="E104" s="24">
        <f t="shared" si="99"/>
        <v>0.49229186532490099</v>
      </c>
      <c r="F104" s="24"/>
      <c r="G104" s="24">
        <f t="shared" si="100"/>
        <v>1.7501491089636794</v>
      </c>
      <c r="H104" s="24"/>
      <c r="I104" s="24">
        <f t="shared" si="101"/>
        <v>-0.58243699958699724</v>
      </c>
      <c r="J104" s="24"/>
      <c r="K104" s="24">
        <f t="shared" si="102"/>
        <v>1.0638282202463967</v>
      </c>
      <c r="L104" s="24">
        <f t="shared" si="103"/>
        <v>0.74342144321543624</v>
      </c>
      <c r="M104" s="22">
        <f t="shared" si="104"/>
        <v>1</v>
      </c>
      <c r="N104" s="27">
        <f t="shared" si="105"/>
        <v>0.19074600098291414</v>
      </c>
      <c r="O104" s="24">
        <f>O95</f>
        <v>3.2916277900824804E-2</v>
      </c>
      <c r="P104" s="28">
        <f t="shared" si="106"/>
        <v>-0.25657855678456376</v>
      </c>
      <c r="Q104" s="29"/>
    </row>
    <row r="105" spans="1:17">
      <c r="A105" s="38">
        <f t="shared" ref="A105:D105" si="108">A96</f>
        <v>3</v>
      </c>
      <c r="B105" s="23">
        <f t="shared" si="108"/>
        <v>1</v>
      </c>
      <c r="C105" s="23">
        <f t="shared" si="108"/>
        <v>0.9</v>
      </c>
      <c r="D105" s="22">
        <f t="shared" si="108"/>
        <v>1</v>
      </c>
      <c r="E105" s="24">
        <f t="shared" si="99"/>
        <v>0.49229186532490099</v>
      </c>
      <c r="F105" s="24"/>
      <c r="G105" s="24">
        <f t="shared" si="100"/>
        <v>1.7501491089636794</v>
      </c>
      <c r="H105" s="24"/>
      <c r="I105" s="24">
        <f t="shared" si="101"/>
        <v>-0.58243699958699724</v>
      </c>
      <c r="J105" s="24"/>
      <c r="K105" s="24">
        <f t="shared" si="102"/>
        <v>1.4849890638052154</v>
      </c>
      <c r="L105" s="24">
        <f t="shared" si="103"/>
        <v>0.81532496694410572</v>
      </c>
      <c r="M105" s="22">
        <f t="shared" si="104"/>
        <v>1</v>
      </c>
      <c r="N105" s="27">
        <f t="shared" si="105"/>
        <v>0.15057016522169864</v>
      </c>
      <c r="O105" s="24">
        <f>O96</f>
        <v>1.7052433917097824E-2</v>
      </c>
      <c r="P105" s="28">
        <f t="shared" si="106"/>
        <v>-0.18467503305589428</v>
      </c>
      <c r="Q105" s="29"/>
    </row>
    <row r="108" spans="1:17" ht="22">
      <c r="A108" s="37" t="s">
        <v>8</v>
      </c>
      <c r="B108" s="16" t="s">
        <v>2</v>
      </c>
      <c r="C108" s="16" t="s">
        <v>3</v>
      </c>
      <c r="D108" s="15" t="s">
        <v>1</v>
      </c>
      <c r="E108" s="17" t="s">
        <v>5</v>
      </c>
      <c r="F108" s="18" t="s">
        <v>24</v>
      </c>
      <c r="G108" s="17" t="s">
        <v>6</v>
      </c>
      <c r="H108" s="18" t="s">
        <v>25</v>
      </c>
      <c r="I108" s="17" t="s">
        <v>7</v>
      </c>
      <c r="J108" s="18" t="s">
        <v>26</v>
      </c>
      <c r="K108" s="17" t="s">
        <v>4</v>
      </c>
      <c r="L108" s="17" t="s">
        <v>0</v>
      </c>
      <c r="M108" s="34" t="s">
        <v>15</v>
      </c>
      <c r="N108" s="17" t="s">
        <v>10</v>
      </c>
      <c r="O108" s="20" t="s">
        <v>28</v>
      </c>
      <c r="P108" s="18" t="s">
        <v>29</v>
      </c>
      <c r="Q108" s="21" t="s">
        <v>30</v>
      </c>
    </row>
    <row r="109" spans="1:17">
      <c r="A109" s="38">
        <f t="shared" ref="A109:E112" si="109">A102</f>
        <v>3</v>
      </c>
      <c r="B109" s="23">
        <f t="shared" si="109"/>
        <v>0.2</v>
      </c>
      <c r="C109" s="23">
        <f t="shared" si="109"/>
        <v>0.2</v>
      </c>
      <c r="D109" s="22">
        <f t="shared" si="109"/>
        <v>0</v>
      </c>
      <c r="E109" s="24">
        <f t="shared" si="109"/>
        <v>0.49229186532490099</v>
      </c>
      <c r="F109" s="30">
        <f>Q109*B109</f>
        <v>2.3223811050312838E-2</v>
      </c>
      <c r="G109" s="24">
        <f>G102</f>
        <v>1.7501491089636794</v>
      </c>
      <c r="H109" s="30">
        <f>Q109*C109</f>
        <v>2.3223811050312838E-2</v>
      </c>
      <c r="I109" s="24">
        <f>I102</f>
        <v>-0.58243699958699724</v>
      </c>
      <c r="J109" s="30">
        <f>Q109</f>
        <v>0.11611905525156418</v>
      </c>
      <c r="K109" s="24">
        <f>E109*B109+G109*C109+I109</f>
        <v>-0.13394880472928117</v>
      </c>
      <c r="L109" s="24">
        <f>L102</f>
        <v>0.46656277887868031</v>
      </c>
      <c r="M109" s="22">
        <f>IF(L109&gt;0.5,1,0)</f>
        <v>0</v>
      </c>
      <c r="N109" s="27">
        <f>N102</f>
        <v>0.24888195224368395</v>
      </c>
      <c r="O109" s="24">
        <f>(L109-D109)^2</f>
        <v>0.21768082663499633</v>
      </c>
      <c r="P109" s="28">
        <f>P102</f>
        <v>0.46656277887868031</v>
      </c>
      <c r="Q109" s="31">
        <f>P109*N109</f>
        <v>0.11611905525156418</v>
      </c>
    </row>
    <row r="110" spans="1:17">
      <c r="A110" s="38">
        <f t="shared" si="109"/>
        <v>3</v>
      </c>
      <c r="B110" s="23">
        <f t="shared" si="109"/>
        <v>0.5</v>
      </c>
      <c r="C110" s="23">
        <f t="shared" si="109"/>
        <v>0.1</v>
      </c>
      <c r="D110" s="22">
        <f t="shared" si="109"/>
        <v>0</v>
      </c>
      <c r="E110" s="24">
        <f t="shared" si="109"/>
        <v>0.49229186532490099</v>
      </c>
      <c r="F110" s="30">
        <f t="shared" ref="F110:F112" si="110">Q110*B110</f>
        <v>5.7098924529320361E-2</v>
      </c>
      <c r="G110" s="24">
        <f>G103</f>
        <v>1.7501491089636794</v>
      </c>
      <c r="H110" s="30">
        <f t="shared" ref="H110:H112" si="111">Q110*C110</f>
        <v>1.1419784905864074E-2</v>
      </c>
      <c r="I110" s="24">
        <f>I103</f>
        <v>-0.58243699958699724</v>
      </c>
      <c r="J110" s="30">
        <f t="shared" ref="J110:J112" si="112">Q110</f>
        <v>0.11419784905864072</v>
      </c>
      <c r="K110" s="24">
        <f t="shared" ref="K110:K112" si="113">E110*B110+G110*C110+I110</f>
        <v>-0.1612761560281788</v>
      </c>
      <c r="L110" s="24">
        <f>L103</f>
        <v>0.45976812579635151</v>
      </c>
      <c r="M110" s="22">
        <f t="shared" ref="M110:M112" si="114">IF(L110&gt;0.5,1,0)</f>
        <v>0</v>
      </c>
      <c r="N110" s="27">
        <f>N103</f>
        <v>0.2483813962980618</v>
      </c>
      <c r="O110" s="24">
        <f t="shared" ref="O110:O112" si="115">(L110-D110)^2</f>
        <v>0.21138672949828971</v>
      </c>
      <c r="P110" s="28">
        <f>P103</f>
        <v>0.45976812579635151</v>
      </c>
      <c r="Q110" s="31">
        <f t="shared" ref="Q110:Q112" si="116">P110*N110</f>
        <v>0.11419784905864072</v>
      </c>
    </row>
    <row r="111" spans="1:17">
      <c r="A111" s="38">
        <f t="shared" si="109"/>
        <v>3</v>
      </c>
      <c r="B111" s="23">
        <f t="shared" si="109"/>
        <v>0.5</v>
      </c>
      <c r="C111" s="23">
        <f t="shared" si="109"/>
        <v>0.8</v>
      </c>
      <c r="D111" s="22">
        <f t="shared" si="109"/>
        <v>1</v>
      </c>
      <c r="E111" s="24">
        <f t="shared" si="109"/>
        <v>0.49229186532490099</v>
      </c>
      <c r="F111" s="30">
        <f t="shared" si="110"/>
        <v>-2.4470666822311544E-2</v>
      </c>
      <c r="G111" s="24">
        <f>G104</f>
        <v>1.7501491089636794</v>
      </c>
      <c r="H111" s="30">
        <f t="shared" si="111"/>
        <v>-3.9153066915698476E-2</v>
      </c>
      <c r="I111" s="24">
        <f>I104</f>
        <v>-0.58243699958699724</v>
      </c>
      <c r="J111" s="30">
        <f t="shared" si="112"/>
        <v>-4.8941333644623088E-2</v>
      </c>
      <c r="K111" s="24">
        <f t="shared" si="113"/>
        <v>1.0638282202463967</v>
      </c>
      <c r="L111" s="24">
        <f>L104</f>
        <v>0.74342144321543624</v>
      </c>
      <c r="M111" s="22">
        <f t="shared" si="114"/>
        <v>1</v>
      </c>
      <c r="N111" s="27">
        <f>N104</f>
        <v>0.19074600098291414</v>
      </c>
      <c r="O111" s="24">
        <f t="shared" si="115"/>
        <v>6.5832555801649609E-2</v>
      </c>
      <c r="P111" s="28">
        <f>P104</f>
        <v>-0.25657855678456376</v>
      </c>
      <c r="Q111" s="31">
        <f t="shared" si="116"/>
        <v>-4.8941333644623088E-2</v>
      </c>
    </row>
    <row r="112" spans="1:17">
      <c r="A112" s="38">
        <f t="shared" si="109"/>
        <v>3</v>
      </c>
      <c r="B112" s="23">
        <f t="shared" si="109"/>
        <v>1</v>
      </c>
      <c r="C112" s="23">
        <f t="shared" si="109"/>
        <v>0.9</v>
      </c>
      <c r="D112" s="22">
        <f t="shared" si="109"/>
        <v>1</v>
      </c>
      <c r="E112" s="24">
        <f t="shared" si="109"/>
        <v>0.49229186532490099</v>
      </c>
      <c r="F112" s="30">
        <f t="shared" si="110"/>
        <v>-2.7806550239548658E-2</v>
      </c>
      <c r="G112" s="24">
        <f>G105</f>
        <v>1.7501491089636794</v>
      </c>
      <c r="H112" s="30">
        <f t="shared" si="111"/>
        <v>-2.5025895215593792E-2</v>
      </c>
      <c r="I112" s="24">
        <f>I105</f>
        <v>-0.58243699958699724</v>
      </c>
      <c r="J112" s="30">
        <f t="shared" si="112"/>
        <v>-2.7806550239548658E-2</v>
      </c>
      <c r="K112" s="24">
        <f t="shared" si="113"/>
        <v>1.4849890638052154</v>
      </c>
      <c r="L112" s="24">
        <f>L105</f>
        <v>0.81532496694410572</v>
      </c>
      <c r="M112" s="22">
        <f t="shared" si="114"/>
        <v>1</v>
      </c>
      <c r="N112" s="27">
        <f>N105</f>
        <v>0.15057016522169864</v>
      </c>
      <c r="O112" s="24">
        <f t="shared" si="115"/>
        <v>3.4104867834195647E-2</v>
      </c>
      <c r="P112" s="28">
        <f>P105</f>
        <v>-0.18467503305589428</v>
      </c>
      <c r="Q112" s="31">
        <f t="shared" si="116"/>
        <v>-2.7806550239548658E-2</v>
      </c>
    </row>
    <row r="114" spans="1:17">
      <c r="A114" s="35" t="s">
        <v>14</v>
      </c>
    </row>
    <row r="116" spans="1:17">
      <c r="B116" s="32"/>
      <c r="E116" s="33" t="s">
        <v>5</v>
      </c>
      <c r="G116" s="33" t="s">
        <v>6</v>
      </c>
      <c r="I116" s="33" t="s">
        <v>7</v>
      </c>
    </row>
    <row r="117" spans="1:17">
      <c r="E117" s="13">
        <f>E109-$B$1*AVERAGE(F109:F112)</f>
        <v>0.35206427273603602</v>
      </c>
      <c r="G117" s="13">
        <f>G109-$B$1*AVERAGE(H109:H112)</f>
        <v>1.8978259398392561</v>
      </c>
      <c r="I117" s="13">
        <f>I109-$B$1*AVERAGE(J109:J112)</f>
        <v>-1.3502821017171631</v>
      </c>
    </row>
    <row r="119" spans="1:17">
      <c r="A119" s="35" t="s">
        <v>9</v>
      </c>
    </row>
    <row r="121" spans="1:17" ht="22">
      <c r="A121" s="37" t="s">
        <v>8</v>
      </c>
      <c r="B121" s="16" t="s">
        <v>2</v>
      </c>
      <c r="C121" s="16" t="s">
        <v>3</v>
      </c>
      <c r="D121" s="15" t="s">
        <v>1</v>
      </c>
      <c r="E121" s="17" t="s">
        <v>5</v>
      </c>
      <c r="F121" s="18" t="s">
        <v>24</v>
      </c>
      <c r="G121" s="17" t="s">
        <v>6</v>
      </c>
      <c r="H121" s="18" t="s">
        <v>25</v>
      </c>
      <c r="I121" s="17" t="s">
        <v>7</v>
      </c>
      <c r="J121" s="18" t="s">
        <v>26</v>
      </c>
      <c r="K121" s="17" t="s">
        <v>4</v>
      </c>
      <c r="L121" s="17" t="s">
        <v>0</v>
      </c>
      <c r="M121" s="34" t="s">
        <v>15</v>
      </c>
      <c r="N121" s="17" t="s">
        <v>10</v>
      </c>
      <c r="O121" s="20" t="s">
        <v>28</v>
      </c>
      <c r="P121" s="18" t="s">
        <v>29</v>
      </c>
      <c r="Q121" s="21" t="s">
        <v>30</v>
      </c>
    </row>
    <row r="122" spans="1:17">
      <c r="A122" s="38">
        <f>A93+1</f>
        <v>4</v>
      </c>
      <c r="B122" s="23">
        <f t="shared" ref="B122:D125" si="117">B93</f>
        <v>0.2</v>
      </c>
      <c r="C122" s="23">
        <f t="shared" si="117"/>
        <v>0.2</v>
      </c>
      <c r="D122" s="23">
        <f t="shared" si="117"/>
        <v>0</v>
      </c>
      <c r="E122" s="24">
        <f>E117</f>
        <v>0.35206427273603602</v>
      </c>
      <c r="F122" s="24"/>
      <c r="G122" s="24">
        <f>G117</f>
        <v>1.8978259398392561</v>
      </c>
      <c r="H122" s="24"/>
      <c r="I122" s="24">
        <f>I117</f>
        <v>-1.3502821017171631</v>
      </c>
      <c r="J122" s="24"/>
      <c r="K122" s="24">
        <f>E122*B122+G122*C122+I122</f>
        <v>-0.90030405920210477</v>
      </c>
      <c r="L122" s="24">
        <f>1/(1+EXP(-K122))</f>
        <v>0.28898801712354905</v>
      </c>
      <c r="M122" s="22">
        <f>IF(L122&gt;0.5,1,0)</f>
        <v>0</v>
      </c>
      <c r="N122" s="24"/>
      <c r="O122" s="24">
        <f>0.5*(L122-D122)^2</f>
        <v>4.1757037020500341E-2</v>
      </c>
      <c r="P122" s="25"/>
      <c r="Q122" s="26"/>
    </row>
    <row r="123" spans="1:17">
      <c r="A123" s="38">
        <f>A122</f>
        <v>4</v>
      </c>
      <c r="B123" s="23">
        <f t="shared" si="117"/>
        <v>0.5</v>
      </c>
      <c r="C123" s="23">
        <f t="shared" si="117"/>
        <v>0.1</v>
      </c>
      <c r="D123" s="23">
        <f t="shared" si="117"/>
        <v>0</v>
      </c>
      <c r="E123" s="24">
        <f>E122</f>
        <v>0.35206427273603602</v>
      </c>
      <c r="F123" s="24"/>
      <c r="G123" s="24">
        <f>G122</f>
        <v>1.8978259398392561</v>
      </c>
      <c r="H123" s="24"/>
      <c r="I123" s="24">
        <f>I122</f>
        <v>-1.3502821017171631</v>
      </c>
      <c r="J123" s="24"/>
      <c r="K123" s="24">
        <f t="shared" ref="K123:K125" si="118">E123*B123+G123*C123+I123</f>
        <v>-0.98446737136521945</v>
      </c>
      <c r="L123" s="24">
        <f t="shared" ref="L123:L125" si="119">1/(1+EXP(-K123))</f>
        <v>0.27200625943690399</v>
      </c>
      <c r="M123" s="22">
        <f t="shared" ref="M123:M125" si="120">IF(L123&gt;0.5,1,0)</f>
        <v>0</v>
      </c>
      <c r="N123" s="24"/>
      <c r="O123" s="24">
        <f t="shared" ref="O123:O125" si="121">0.5*(L123-D123)^2</f>
        <v>3.6993702586428159E-2</v>
      </c>
      <c r="P123" s="25"/>
      <c r="Q123" s="26"/>
    </row>
    <row r="124" spans="1:17">
      <c r="A124" s="38">
        <f t="shared" ref="A124:A125" si="122">A123</f>
        <v>4</v>
      </c>
      <c r="B124" s="23">
        <f t="shared" si="117"/>
        <v>0.5</v>
      </c>
      <c r="C124" s="23">
        <f t="shared" si="117"/>
        <v>0.8</v>
      </c>
      <c r="D124" s="23">
        <f t="shared" si="117"/>
        <v>1</v>
      </c>
      <c r="E124" s="24">
        <f t="shared" ref="E124:E125" si="123">E123</f>
        <v>0.35206427273603602</v>
      </c>
      <c r="F124" s="24"/>
      <c r="G124" s="24">
        <f t="shared" ref="G124:G125" si="124">G123</f>
        <v>1.8978259398392561</v>
      </c>
      <c r="H124" s="24"/>
      <c r="I124" s="24">
        <f t="shared" ref="I124:I125" si="125">I123</f>
        <v>-1.3502821017171631</v>
      </c>
      <c r="J124" s="24"/>
      <c r="K124" s="24">
        <f t="shared" si="118"/>
        <v>0.34401078652225969</v>
      </c>
      <c r="L124" s="24">
        <f t="shared" si="119"/>
        <v>0.58516446075862738</v>
      </c>
      <c r="M124" s="22">
        <f t="shared" si="120"/>
        <v>1</v>
      </c>
      <c r="N124" s="24"/>
      <c r="O124" s="24">
        <f t="shared" si="121"/>
        <v>8.60442623088402E-2</v>
      </c>
      <c r="P124" s="25"/>
      <c r="Q124" s="26"/>
    </row>
    <row r="125" spans="1:17">
      <c r="A125" s="38">
        <f t="shared" si="122"/>
        <v>4</v>
      </c>
      <c r="B125" s="23">
        <f t="shared" si="117"/>
        <v>1</v>
      </c>
      <c r="C125" s="23">
        <f t="shared" si="117"/>
        <v>0.9</v>
      </c>
      <c r="D125" s="23">
        <f t="shared" si="117"/>
        <v>1</v>
      </c>
      <c r="E125" s="24">
        <f t="shared" si="123"/>
        <v>0.35206427273603602</v>
      </c>
      <c r="F125" s="24"/>
      <c r="G125" s="24">
        <f t="shared" si="124"/>
        <v>1.8978259398392561</v>
      </c>
      <c r="H125" s="24"/>
      <c r="I125" s="24">
        <f t="shared" si="125"/>
        <v>-1.3502821017171631</v>
      </c>
      <c r="J125" s="24"/>
      <c r="K125" s="24">
        <f t="shared" si="118"/>
        <v>0.70982551687420337</v>
      </c>
      <c r="L125" s="24">
        <f t="shared" si="119"/>
        <v>0.67036260427010397</v>
      </c>
      <c r="M125" s="22">
        <f t="shared" si="120"/>
        <v>1</v>
      </c>
      <c r="N125" s="24"/>
      <c r="O125" s="24">
        <f t="shared" si="121"/>
        <v>5.4330406331794041E-2</v>
      </c>
      <c r="P125" s="25"/>
      <c r="Q125" s="26"/>
    </row>
    <row r="126" spans="1:17">
      <c r="E126" s="13" t="s">
        <v>16</v>
      </c>
    </row>
    <row r="127" spans="1:17">
      <c r="O127" s="13">
        <f>AVERAGE(O131:O134)</f>
        <v>5.4781352061890679E-2</v>
      </c>
      <c r="P127" s="12" t="s">
        <v>13</v>
      </c>
    </row>
    <row r="128" spans="1:17">
      <c r="A128" s="35" t="s">
        <v>12</v>
      </c>
    </row>
    <row r="130" spans="1:17" ht="22">
      <c r="A130" s="37" t="s">
        <v>8</v>
      </c>
      <c r="B130" s="16" t="s">
        <v>2</v>
      </c>
      <c r="C130" s="16" t="s">
        <v>3</v>
      </c>
      <c r="D130" s="15" t="s">
        <v>1</v>
      </c>
      <c r="E130" s="17" t="s">
        <v>5</v>
      </c>
      <c r="F130" s="18" t="s">
        <v>24</v>
      </c>
      <c r="G130" s="17" t="s">
        <v>6</v>
      </c>
      <c r="H130" s="18" t="s">
        <v>25</v>
      </c>
      <c r="I130" s="17" t="s">
        <v>7</v>
      </c>
      <c r="J130" s="18" t="s">
        <v>26</v>
      </c>
      <c r="K130" s="17" t="s">
        <v>4</v>
      </c>
      <c r="L130" s="17" t="s">
        <v>0</v>
      </c>
      <c r="M130" s="34" t="s">
        <v>15</v>
      </c>
      <c r="N130" s="17" t="s">
        <v>10</v>
      </c>
      <c r="O130" s="20" t="s">
        <v>28</v>
      </c>
      <c r="P130" s="18" t="s">
        <v>29</v>
      </c>
      <c r="Q130" s="21" t="s">
        <v>30</v>
      </c>
    </row>
    <row r="131" spans="1:17">
      <c r="A131" s="38">
        <f>A122</f>
        <v>4</v>
      </c>
      <c r="B131" s="23">
        <f t="shared" ref="B131:E131" si="126">B122</f>
        <v>0.2</v>
      </c>
      <c r="C131" s="23">
        <f t="shared" si="126"/>
        <v>0.2</v>
      </c>
      <c r="D131" s="22">
        <f t="shared" si="126"/>
        <v>0</v>
      </c>
      <c r="E131" s="24">
        <f t="shared" si="126"/>
        <v>0.35206427273603602</v>
      </c>
      <c r="F131" s="24"/>
      <c r="G131" s="24">
        <f>G122</f>
        <v>1.8978259398392561</v>
      </c>
      <c r="H131" s="24"/>
      <c r="I131" s="24">
        <f>I122</f>
        <v>-1.3502821017171631</v>
      </c>
      <c r="J131" s="24"/>
      <c r="K131" s="24">
        <f>E131*B131+G131*C131+I131</f>
        <v>-0.90030405920210477</v>
      </c>
      <c r="L131" s="24">
        <f>L122</f>
        <v>0.28898801712354905</v>
      </c>
      <c r="M131" s="22">
        <f>IF(L131&gt;0.5,1,0)</f>
        <v>0</v>
      </c>
      <c r="N131" s="27">
        <f>L131*(1-L131)</f>
        <v>0.20547394308254838</v>
      </c>
      <c r="O131" s="24">
        <f>O122</f>
        <v>4.1757037020500341E-2</v>
      </c>
      <c r="P131" s="28">
        <f>(L131-D131)</f>
        <v>0.28898801712354905</v>
      </c>
      <c r="Q131" s="29"/>
    </row>
    <row r="132" spans="1:17">
      <c r="A132" s="38">
        <f t="shared" ref="A132:D132" si="127">A123</f>
        <v>4</v>
      </c>
      <c r="B132" s="23">
        <f t="shared" si="127"/>
        <v>0.5</v>
      </c>
      <c r="C132" s="23">
        <f t="shared" si="127"/>
        <v>0.1</v>
      </c>
      <c r="D132" s="22">
        <f t="shared" si="127"/>
        <v>0</v>
      </c>
      <c r="E132" s="24">
        <f t="shared" ref="E132:E134" si="128">E131</f>
        <v>0.35206427273603602</v>
      </c>
      <c r="F132" s="24"/>
      <c r="G132" s="24">
        <f t="shared" ref="G132:G134" si="129">G131</f>
        <v>1.8978259398392561</v>
      </c>
      <c r="H132" s="24"/>
      <c r="I132" s="24">
        <f t="shared" ref="I132:I134" si="130">I131</f>
        <v>-1.3502821017171631</v>
      </c>
      <c r="J132" s="24"/>
      <c r="K132" s="24">
        <f t="shared" ref="K132:K134" si="131">E132*B132+G132*C132+I132</f>
        <v>-0.98446737136521945</v>
      </c>
      <c r="L132" s="24">
        <f t="shared" ref="L132:L134" si="132">L123</f>
        <v>0.27200625943690399</v>
      </c>
      <c r="M132" s="22">
        <f t="shared" ref="M132:M134" si="133">IF(L132&gt;0.5,1,0)</f>
        <v>0</v>
      </c>
      <c r="N132" s="27">
        <f t="shared" ref="N132:N134" si="134">L132*(1-L132)</f>
        <v>0.19801885426404769</v>
      </c>
      <c r="O132" s="24">
        <f>O123</f>
        <v>3.6993702586428159E-2</v>
      </c>
      <c r="P132" s="28">
        <f t="shared" ref="P132:P134" si="135">L132*(L132-D132)</f>
        <v>7.3987405172856319E-2</v>
      </c>
      <c r="Q132" s="29"/>
    </row>
    <row r="133" spans="1:17">
      <c r="A133" s="38">
        <f t="shared" ref="A133:D133" si="136">A124</f>
        <v>4</v>
      </c>
      <c r="B133" s="23">
        <f t="shared" si="136"/>
        <v>0.5</v>
      </c>
      <c r="C133" s="23">
        <f t="shared" si="136"/>
        <v>0.8</v>
      </c>
      <c r="D133" s="22">
        <f t="shared" si="136"/>
        <v>1</v>
      </c>
      <c r="E133" s="24">
        <f t="shared" si="128"/>
        <v>0.35206427273603602</v>
      </c>
      <c r="F133" s="24"/>
      <c r="G133" s="24">
        <f t="shared" si="129"/>
        <v>1.8978259398392561</v>
      </c>
      <c r="H133" s="24"/>
      <c r="I133" s="24">
        <f t="shared" si="130"/>
        <v>-1.3502821017171631</v>
      </c>
      <c r="J133" s="24"/>
      <c r="K133" s="24">
        <f t="shared" si="131"/>
        <v>0.34401078652225969</v>
      </c>
      <c r="L133" s="24">
        <f t="shared" si="132"/>
        <v>0.58516446075862738</v>
      </c>
      <c r="M133" s="22">
        <f t="shared" si="133"/>
        <v>1</v>
      </c>
      <c r="N133" s="27">
        <f t="shared" si="134"/>
        <v>0.24274701462369222</v>
      </c>
      <c r="O133" s="24">
        <f>O124</f>
        <v>8.60442623088402E-2</v>
      </c>
      <c r="P133" s="28">
        <f t="shared" si="135"/>
        <v>-0.24274701462369222</v>
      </c>
      <c r="Q133" s="29"/>
    </row>
    <row r="134" spans="1:17">
      <c r="A134" s="38">
        <f t="shared" ref="A134:D134" si="137">A125</f>
        <v>4</v>
      </c>
      <c r="B134" s="23">
        <f t="shared" si="137"/>
        <v>1</v>
      </c>
      <c r="C134" s="23">
        <f t="shared" si="137"/>
        <v>0.9</v>
      </c>
      <c r="D134" s="22">
        <f t="shared" si="137"/>
        <v>1</v>
      </c>
      <c r="E134" s="24">
        <f t="shared" si="128"/>
        <v>0.35206427273603602</v>
      </c>
      <c r="F134" s="24"/>
      <c r="G134" s="24">
        <f t="shared" si="129"/>
        <v>1.8978259398392561</v>
      </c>
      <c r="H134" s="24"/>
      <c r="I134" s="24">
        <f t="shared" si="130"/>
        <v>-1.3502821017171631</v>
      </c>
      <c r="J134" s="24"/>
      <c r="K134" s="24">
        <f t="shared" si="131"/>
        <v>0.70982551687420337</v>
      </c>
      <c r="L134" s="24">
        <f t="shared" si="132"/>
        <v>0.67036260427010397</v>
      </c>
      <c r="M134" s="22">
        <f t="shared" si="133"/>
        <v>1</v>
      </c>
      <c r="N134" s="27">
        <f t="shared" si="134"/>
        <v>0.22097658306630796</v>
      </c>
      <c r="O134" s="24">
        <f>O125</f>
        <v>5.4330406331794041E-2</v>
      </c>
      <c r="P134" s="28">
        <f t="shared" si="135"/>
        <v>-0.22097658306630796</v>
      </c>
      <c r="Q134" s="29"/>
    </row>
    <row r="139" spans="1:17" ht="22">
      <c r="A139" s="37" t="s">
        <v>8</v>
      </c>
      <c r="B139" s="16" t="s">
        <v>2</v>
      </c>
      <c r="C139" s="16" t="s">
        <v>3</v>
      </c>
      <c r="D139" s="15" t="s">
        <v>1</v>
      </c>
      <c r="E139" s="17" t="s">
        <v>5</v>
      </c>
      <c r="F139" s="18" t="s">
        <v>24</v>
      </c>
      <c r="G139" s="17" t="s">
        <v>6</v>
      </c>
      <c r="H139" s="18" t="s">
        <v>25</v>
      </c>
      <c r="I139" s="17" t="s">
        <v>7</v>
      </c>
      <c r="J139" s="18" t="s">
        <v>26</v>
      </c>
      <c r="K139" s="17" t="s">
        <v>4</v>
      </c>
      <c r="L139" s="17" t="s">
        <v>0</v>
      </c>
      <c r="M139" s="19" t="s">
        <v>27</v>
      </c>
      <c r="N139" s="17" t="s">
        <v>10</v>
      </c>
      <c r="O139" s="20" t="s">
        <v>28</v>
      </c>
      <c r="P139" s="18" t="s">
        <v>29</v>
      </c>
      <c r="Q139" s="21" t="s">
        <v>30</v>
      </c>
    </row>
    <row r="140" spans="1:17">
      <c r="A140" s="38">
        <f t="shared" ref="A140:D140" si="138">A131</f>
        <v>4</v>
      </c>
      <c r="B140" s="23">
        <f t="shared" si="138"/>
        <v>0.2</v>
      </c>
      <c r="C140" s="23">
        <f t="shared" si="138"/>
        <v>0.2</v>
      </c>
      <c r="D140" s="22">
        <f t="shared" si="138"/>
        <v>0</v>
      </c>
      <c r="E140" s="24">
        <f>E131</f>
        <v>0.35206427273603602</v>
      </c>
      <c r="F140" s="30">
        <f>Q140*B140</f>
        <v>1.1875901476396528E-2</v>
      </c>
      <c r="G140" s="24">
        <f>G131</f>
        <v>1.8978259398392561</v>
      </c>
      <c r="H140" s="30">
        <f>Q140*C140</f>
        <v>1.1875901476396528E-2</v>
      </c>
      <c r="I140" s="24">
        <f>I131</f>
        <v>-1.3502821017171631</v>
      </c>
      <c r="J140" s="30">
        <f>Q140</f>
        <v>5.9379507381982631E-2</v>
      </c>
      <c r="K140" s="24">
        <f>E140*B140+G140*C140+I140</f>
        <v>-0.90030405920210477</v>
      </c>
      <c r="L140" s="24">
        <f t="shared" ref="L140:L143" si="139">L131</f>
        <v>0.28898801712354905</v>
      </c>
      <c r="M140" s="22">
        <f>IF(L140&gt;0.5,1,0)</f>
        <v>0</v>
      </c>
      <c r="N140" s="27">
        <f>N131</f>
        <v>0.20547394308254838</v>
      </c>
      <c r="O140" s="24">
        <f>(L140-D140)^2</f>
        <v>8.3514074041000683E-2</v>
      </c>
      <c r="P140" s="28">
        <f>P131</f>
        <v>0.28898801712354905</v>
      </c>
      <c r="Q140" s="31">
        <f>P140*N140</f>
        <v>5.9379507381982631E-2</v>
      </c>
    </row>
    <row r="141" spans="1:17">
      <c r="A141" s="38">
        <f t="shared" ref="A141:E141" si="140">A132</f>
        <v>4</v>
      </c>
      <c r="B141" s="23">
        <f t="shared" si="140"/>
        <v>0.5</v>
      </c>
      <c r="C141" s="23">
        <f t="shared" si="140"/>
        <v>0.1</v>
      </c>
      <c r="D141" s="22">
        <f t="shared" si="140"/>
        <v>0</v>
      </c>
      <c r="E141" s="24">
        <f t="shared" si="140"/>
        <v>0.35206427273603602</v>
      </c>
      <c r="F141" s="30">
        <f t="shared" ref="F141:F143" si="141">Q141*B141</f>
        <v>7.3254506011494417E-3</v>
      </c>
      <c r="G141" s="24">
        <f t="shared" ref="G141:G143" si="142">G132</f>
        <v>1.8978259398392561</v>
      </c>
      <c r="H141" s="30">
        <f t="shared" ref="H141:H143" si="143">Q141*C141</f>
        <v>1.4650901202298884E-3</v>
      </c>
      <c r="I141" s="24">
        <f t="shared" ref="I141:I143" si="144">I132</f>
        <v>-1.3502821017171631</v>
      </c>
      <c r="J141" s="30">
        <f t="shared" ref="J141:J143" si="145">Q141</f>
        <v>1.4650901202298883E-2</v>
      </c>
      <c r="K141" s="24">
        <f t="shared" ref="K141:K143" si="146">E141*B141+G141*C141+I141</f>
        <v>-0.98446737136521945</v>
      </c>
      <c r="L141" s="24">
        <f t="shared" si="139"/>
        <v>0.27200625943690399</v>
      </c>
      <c r="M141" s="22">
        <f t="shared" ref="M141:M143" si="147">IF(L141&gt;0.5,1,0)</f>
        <v>0</v>
      </c>
      <c r="N141" s="27">
        <f t="shared" ref="N141:N143" si="148">N132</f>
        <v>0.19801885426404769</v>
      </c>
      <c r="O141" s="24">
        <f t="shared" ref="O141:O143" si="149">(L141-D141)^2</f>
        <v>7.3987405172856319E-2</v>
      </c>
      <c r="P141" s="28">
        <f t="shared" ref="P141:P143" si="150">P132</f>
        <v>7.3987405172856319E-2</v>
      </c>
      <c r="Q141" s="31">
        <f t="shared" ref="Q141:Q143" si="151">P141*N141</f>
        <v>1.4650901202298883E-2</v>
      </c>
    </row>
    <row r="142" spans="1:17">
      <c r="A142" s="38">
        <f t="shared" ref="A142:E142" si="152">A133</f>
        <v>4</v>
      </c>
      <c r="B142" s="23">
        <f t="shared" si="152"/>
        <v>0.5</v>
      </c>
      <c r="C142" s="23">
        <f t="shared" si="152"/>
        <v>0.8</v>
      </c>
      <c r="D142" s="22">
        <f t="shared" si="152"/>
        <v>1</v>
      </c>
      <c r="E142" s="24">
        <f t="shared" si="152"/>
        <v>0.35206427273603602</v>
      </c>
      <c r="F142" s="30">
        <f t="shared" si="141"/>
        <v>-2.9463056554357523E-2</v>
      </c>
      <c r="G142" s="24">
        <f t="shared" si="142"/>
        <v>1.8978259398392561</v>
      </c>
      <c r="H142" s="30">
        <f t="shared" si="143"/>
        <v>-4.7140890486972037E-2</v>
      </c>
      <c r="I142" s="24">
        <f t="shared" si="144"/>
        <v>-1.3502821017171631</v>
      </c>
      <c r="J142" s="30">
        <f t="shared" si="145"/>
        <v>-5.8926113108715046E-2</v>
      </c>
      <c r="K142" s="24">
        <f t="shared" si="146"/>
        <v>0.34401078652225969</v>
      </c>
      <c r="L142" s="24">
        <f t="shared" si="139"/>
        <v>0.58516446075862738</v>
      </c>
      <c r="M142" s="22">
        <f t="shared" si="147"/>
        <v>1</v>
      </c>
      <c r="N142" s="27">
        <f t="shared" si="148"/>
        <v>0.24274701462369222</v>
      </c>
      <c r="O142" s="24">
        <f t="shared" si="149"/>
        <v>0.1720885246176804</v>
      </c>
      <c r="P142" s="28">
        <f t="shared" si="150"/>
        <v>-0.24274701462369222</v>
      </c>
      <c r="Q142" s="31">
        <f t="shared" si="151"/>
        <v>-5.8926113108715046E-2</v>
      </c>
    </row>
    <row r="143" spans="1:17">
      <c r="A143" s="38">
        <f t="shared" ref="A143:E143" si="153">A134</f>
        <v>4</v>
      </c>
      <c r="B143" s="23">
        <f t="shared" si="153"/>
        <v>1</v>
      </c>
      <c r="C143" s="23">
        <f t="shared" si="153"/>
        <v>0.9</v>
      </c>
      <c r="D143" s="22">
        <f t="shared" si="153"/>
        <v>1</v>
      </c>
      <c r="E143" s="24">
        <f t="shared" si="153"/>
        <v>0.35206427273603602</v>
      </c>
      <c r="F143" s="30">
        <f t="shared" si="141"/>
        <v>-4.8830650263660902E-2</v>
      </c>
      <c r="G143" s="24">
        <f t="shared" si="142"/>
        <v>1.8978259398392561</v>
      </c>
      <c r="H143" s="30">
        <f t="shared" si="143"/>
        <v>-4.3947585237294813E-2</v>
      </c>
      <c r="I143" s="24">
        <f t="shared" si="144"/>
        <v>-1.3502821017171631</v>
      </c>
      <c r="J143" s="30">
        <f t="shared" si="145"/>
        <v>-4.8830650263660902E-2</v>
      </c>
      <c r="K143" s="24">
        <f t="shared" si="146"/>
        <v>0.70982551687420337</v>
      </c>
      <c r="L143" s="24">
        <f t="shared" si="139"/>
        <v>0.67036260427010397</v>
      </c>
      <c r="M143" s="22">
        <f t="shared" si="147"/>
        <v>1</v>
      </c>
      <c r="N143" s="27">
        <f t="shared" si="148"/>
        <v>0.22097658306630796</v>
      </c>
      <c r="O143" s="24">
        <f t="shared" si="149"/>
        <v>0.10866081266358808</v>
      </c>
      <c r="P143" s="28">
        <f t="shared" si="150"/>
        <v>-0.22097658306630796</v>
      </c>
      <c r="Q143" s="31">
        <f t="shared" si="151"/>
        <v>-4.8830650263660902E-2</v>
      </c>
    </row>
    <row r="145" spans="1:17">
      <c r="A145" s="35" t="s">
        <v>14</v>
      </c>
    </row>
    <row r="147" spans="1:17">
      <c r="B147" s="32"/>
      <c r="E147" s="33" t="s">
        <v>5</v>
      </c>
      <c r="G147" s="33" t="s">
        <v>6</v>
      </c>
      <c r="I147" s="33" t="s">
        <v>7</v>
      </c>
    </row>
    <row r="148" spans="1:17">
      <c r="E148" s="13">
        <f>E140-$B$1*AVERAGE(F140:F143)</f>
        <v>0.64752604643839828</v>
      </c>
      <c r="G148" s="13">
        <f>G140-$B$1*AVERAGE(H140:H143)</f>
        <v>2.2865633604774582</v>
      </c>
      <c r="I148" s="13">
        <f>I140-$B$1*AVERAGE(J140:J143)</f>
        <v>-1.181650327776691</v>
      </c>
    </row>
    <row r="150" spans="1:17">
      <c r="A150" s="35" t="s">
        <v>9</v>
      </c>
    </row>
    <row r="152" spans="1:17" ht="22">
      <c r="A152" s="37" t="s">
        <v>8</v>
      </c>
      <c r="B152" s="16" t="s">
        <v>2</v>
      </c>
      <c r="C152" s="16" t="s">
        <v>3</v>
      </c>
      <c r="D152" s="15" t="s">
        <v>1</v>
      </c>
      <c r="E152" s="17" t="s">
        <v>5</v>
      </c>
      <c r="F152" s="18" t="s">
        <v>24</v>
      </c>
      <c r="G152" s="17" t="s">
        <v>6</v>
      </c>
      <c r="H152" s="18" t="s">
        <v>25</v>
      </c>
      <c r="I152" s="17" t="s">
        <v>7</v>
      </c>
      <c r="J152" s="18" t="s">
        <v>26</v>
      </c>
      <c r="K152" s="17" t="s">
        <v>4</v>
      </c>
      <c r="L152" s="17" t="s">
        <v>0</v>
      </c>
      <c r="M152" s="19" t="s">
        <v>27</v>
      </c>
      <c r="N152" s="17" t="s">
        <v>10</v>
      </c>
      <c r="O152" s="20" t="s">
        <v>28</v>
      </c>
      <c r="P152" s="18" t="s">
        <v>29</v>
      </c>
      <c r="Q152" s="21" t="s">
        <v>30</v>
      </c>
    </row>
    <row r="153" spans="1:17">
      <c r="A153" s="38">
        <f>A122+1</f>
        <v>5</v>
      </c>
      <c r="B153" s="23">
        <f t="shared" ref="B153:D153" si="154">B122</f>
        <v>0.2</v>
      </c>
      <c r="C153" s="23">
        <f t="shared" si="154"/>
        <v>0.2</v>
      </c>
      <c r="D153" s="23">
        <f t="shared" si="154"/>
        <v>0</v>
      </c>
      <c r="E153" s="24">
        <f>E148</f>
        <v>0.64752604643839828</v>
      </c>
      <c r="F153" s="24"/>
      <c r="G153" s="24">
        <f>G148</f>
        <v>2.2865633604774582</v>
      </c>
      <c r="H153" s="24"/>
      <c r="I153" s="24">
        <f>I148</f>
        <v>-1.181650327776691</v>
      </c>
      <c r="J153" s="24"/>
      <c r="K153" s="24">
        <f>E153*B153+G153*C153+I153</f>
        <v>-0.59483244639351973</v>
      </c>
      <c r="L153" s="24">
        <f>1/(1+EXP(-K153))</f>
        <v>0.35552683650411526</v>
      </c>
      <c r="M153" s="22">
        <f>IF(L153&gt;0.5,1,0)</f>
        <v>0</v>
      </c>
      <c r="N153" s="24"/>
      <c r="O153" s="24">
        <f>0.5*(L153-D153)^2</f>
        <v>6.319966573731195E-2</v>
      </c>
      <c r="P153" s="25"/>
      <c r="Q153" s="26"/>
    </row>
    <row r="154" spans="1:17">
      <c r="A154" s="38">
        <f>A153</f>
        <v>5</v>
      </c>
      <c r="B154" s="23">
        <f t="shared" ref="B154:D154" si="155">B123</f>
        <v>0.5</v>
      </c>
      <c r="C154" s="23">
        <f t="shared" si="155"/>
        <v>0.1</v>
      </c>
      <c r="D154" s="23">
        <f t="shared" si="155"/>
        <v>0</v>
      </c>
      <c r="E154" s="24">
        <f>E153</f>
        <v>0.64752604643839828</v>
      </c>
      <c r="F154" s="24"/>
      <c r="G154" s="24">
        <f>G153</f>
        <v>2.2865633604774582</v>
      </c>
      <c r="H154" s="24"/>
      <c r="I154" s="24">
        <f>I153</f>
        <v>-1.181650327776691</v>
      </c>
      <c r="J154" s="24"/>
      <c r="K154" s="24">
        <f t="shared" ref="K154:K156" si="156">E154*B154+G154*C154+I154</f>
        <v>-0.62923096850974602</v>
      </c>
      <c r="L154" s="24">
        <f t="shared" ref="L154:L156" si="157">1/(1+EXP(-K154))</f>
        <v>0.34768493380551357</v>
      </c>
      <c r="M154" s="22">
        <f t="shared" ref="M154:M156" si="158">IF(L154&gt;0.5,1,0)</f>
        <v>0</v>
      </c>
      <c r="N154" s="24"/>
      <c r="O154" s="24">
        <f t="shared" ref="O154:O156" si="159">0.5*(L154-D154)^2</f>
        <v>6.044240659767218E-2</v>
      </c>
      <c r="P154" s="25"/>
      <c r="Q154" s="26"/>
    </row>
    <row r="155" spans="1:17">
      <c r="A155" s="38">
        <f t="shared" ref="A155:A156" si="160">A154</f>
        <v>5</v>
      </c>
      <c r="B155" s="23">
        <f t="shared" ref="B155:D155" si="161">B124</f>
        <v>0.5</v>
      </c>
      <c r="C155" s="23">
        <f t="shared" si="161"/>
        <v>0.8</v>
      </c>
      <c r="D155" s="23">
        <f t="shared" si="161"/>
        <v>1</v>
      </c>
      <c r="E155" s="24">
        <f t="shared" ref="E155:E156" si="162">E154</f>
        <v>0.64752604643839828</v>
      </c>
      <c r="F155" s="24"/>
      <c r="G155" s="24">
        <f t="shared" ref="G155:G156" si="163">G154</f>
        <v>2.2865633604774582</v>
      </c>
      <c r="H155" s="24"/>
      <c r="I155" s="24">
        <f t="shared" ref="I155:I156" si="164">I154</f>
        <v>-1.181650327776691</v>
      </c>
      <c r="J155" s="24"/>
      <c r="K155" s="24">
        <f t="shared" si="156"/>
        <v>0.97136338382447462</v>
      </c>
      <c r="L155" s="24">
        <f t="shared" si="157"/>
        <v>0.7253911656821953</v>
      </c>
      <c r="M155" s="22">
        <f t="shared" si="158"/>
        <v>1</v>
      </c>
      <c r="N155" s="24"/>
      <c r="O155" s="24">
        <f t="shared" si="159"/>
        <v>3.7705005942691758E-2</v>
      </c>
      <c r="P155" s="25"/>
      <c r="Q155" s="26"/>
    </row>
    <row r="156" spans="1:17">
      <c r="A156" s="38">
        <f t="shared" si="160"/>
        <v>5</v>
      </c>
      <c r="B156" s="23">
        <f t="shared" ref="B156:D156" si="165">B125</f>
        <v>1</v>
      </c>
      <c r="C156" s="23">
        <f t="shared" si="165"/>
        <v>0.9</v>
      </c>
      <c r="D156" s="23">
        <f t="shared" si="165"/>
        <v>1</v>
      </c>
      <c r="E156" s="24">
        <f t="shared" si="162"/>
        <v>0.64752604643839828</v>
      </c>
      <c r="F156" s="24"/>
      <c r="G156" s="24">
        <f t="shared" si="163"/>
        <v>2.2865633604774582</v>
      </c>
      <c r="H156" s="24"/>
      <c r="I156" s="24">
        <f t="shared" si="164"/>
        <v>-1.181650327776691</v>
      </c>
      <c r="J156" s="24"/>
      <c r="K156" s="24">
        <f t="shared" si="156"/>
        <v>1.5237827430914197</v>
      </c>
      <c r="L156" s="24">
        <f t="shared" si="157"/>
        <v>0.82109483348903367</v>
      </c>
      <c r="M156" s="22">
        <f t="shared" si="158"/>
        <v>1</v>
      </c>
      <c r="N156" s="24"/>
      <c r="O156" s="24">
        <f t="shared" si="159"/>
        <v>1.6003529302158294E-2</v>
      </c>
      <c r="P156" s="25"/>
      <c r="Q156" s="26"/>
    </row>
    <row r="157" spans="1:17">
      <c r="E157" s="13" t="s">
        <v>16</v>
      </c>
    </row>
    <row r="158" spans="1:17">
      <c r="O158" s="13">
        <f>AVERAGE(O162:O165)</f>
        <v>4.4337651894958544E-2</v>
      </c>
      <c r="P158" s="12" t="s">
        <v>13</v>
      </c>
    </row>
    <row r="159" spans="1:17">
      <c r="A159" s="35" t="s">
        <v>12</v>
      </c>
    </row>
    <row r="161" spans="1:17" ht="22">
      <c r="A161" s="37" t="s">
        <v>8</v>
      </c>
      <c r="B161" s="16" t="s">
        <v>2</v>
      </c>
      <c r="C161" s="16" t="s">
        <v>3</v>
      </c>
      <c r="D161" s="15" t="s">
        <v>1</v>
      </c>
      <c r="E161" s="17" t="s">
        <v>5</v>
      </c>
      <c r="F161" s="18" t="s">
        <v>24</v>
      </c>
      <c r="G161" s="17" t="s">
        <v>6</v>
      </c>
      <c r="H161" s="18" t="s">
        <v>25</v>
      </c>
      <c r="I161" s="17" t="s">
        <v>7</v>
      </c>
      <c r="J161" s="18" t="s">
        <v>26</v>
      </c>
      <c r="K161" s="17" t="s">
        <v>4</v>
      </c>
      <c r="L161" s="17" t="s">
        <v>0</v>
      </c>
      <c r="M161" s="19" t="s">
        <v>27</v>
      </c>
      <c r="N161" s="17" t="s">
        <v>10</v>
      </c>
      <c r="O161" s="20" t="s">
        <v>28</v>
      </c>
      <c r="P161" s="18" t="s">
        <v>29</v>
      </c>
      <c r="Q161" s="21" t="s">
        <v>30</v>
      </c>
    </row>
    <row r="162" spans="1:17">
      <c r="A162" s="38">
        <f>A153</f>
        <v>5</v>
      </c>
      <c r="B162" s="23">
        <f t="shared" ref="B162:E162" si="166">B153</f>
        <v>0.2</v>
      </c>
      <c r="C162" s="23">
        <f t="shared" si="166"/>
        <v>0.2</v>
      </c>
      <c r="D162" s="22">
        <f t="shared" si="166"/>
        <v>0</v>
      </c>
      <c r="E162" s="24">
        <f t="shared" si="166"/>
        <v>0.64752604643839828</v>
      </c>
      <c r="F162" s="24"/>
      <c r="G162" s="24">
        <f>G153</f>
        <v>2.2865633604774582</v>
      </c>
      <c r="H162" s="24"/>
      <c r="I162" s="24">
        <f>I153</f>
        <v>-1.181650327776691</v>
      </c>
      <c r="J162" s="24"/>
      <c r="K162" s="24">
        <f>E162*B162+G162*C162+I162</f>
        <v>-0.59483244639351973</v>
      </c>
      <c r="L162" s="24">
        <f>L153</f>
        <v>0.35552683650411526</v>
      </c>
      <c r="M162" s="22">
        <f>IF(L162&gt;0.5,1,0)</f>
        <v>0</v>
      </c>
      <c r="N162" s="27">
        <f>L162*(1-L162)</f>
        <v>0.22912750502949134</v>
      </c>
      <c r="O162" s="24">
        <f>O153</f>
        <v>6.319966573731195E-2</v>
      </c>
      <c r="P162" s="28">
        <f>(L162-D162)</f>
        <v>0.35552683650411526</v>
      </c>
      <c r="Q162" s="29"/>
    </row>
    <row r="163" spans="1:17">
      <c r="A163" s="38">
        <f t="shared" ref="A163:D163" si="167">A154</f>
        <v>5</v>
      </c>
      <c r="B163" s="23">
        <f t="shared" si="167"/>
        <v>0.5</v>
      </c>
      <c r="C163" s="23">
        <f t="shared" si="167"/>
        <v>0.1</v>
      </c>
      <c r="D163" s="22">
        <f t="shared" si="167"/>
        <v>0</v>
      </c>
      <c r="E163" s="24">
        <f t="shared" ref="E163:E165" si="168">E162</f>
        <v>0.64752604643839828</v>
      </c>
      <c r="F163" s="24"/>
      <c r="G163" s="24">
        <f t="shared" ref="G163:G165" si="169">G162</f>
        <v>2.2865633604774582</v>
      </c>
      <c r="H163" s="24"/>
      <c r="I163" s="24">
        <f t="shared" ref="I163:I165" si="170">I162</f>
        <v>-1.181650327776691</v>
      </c>
      <c r="J163" s="24"/>
      <c r="K163" s="24">
        <f t="shared" ref="K163:K165" si="171">E163*B163+G163*C163+I163</f>
        <v>-0.62923096850974602</v>
      </c>
      <c r="L163" s="24">
        <f t="shared" ref="L163:L165" si="172">L154</f>
        <v>0.34768493380551357</v>
      </c>
      <c r="M163" s="22">
        <f t="shared" ref="M163:M165" si="173">IF(L163&gt;0.5,1,0)</f>
        <v>0</v>
      </c>
      <c r="N163" s="27">
        <f t="shared" ref="N163:N165" si="174">L163*(1-L163)</f>
        <v>0.22680012061016921</v>
      </c>
      <c r="O163" s="24">
        <f>O154</f>
        <v>6.044240659767218E-2</v>
      </c>
      <c r="P163" s="28">
        <f t="shared" ref="P163:P165" si="175">(L163-D163)</f>
        <v>0.34768493380551357</v>
      </c>
      <c r="Q163" s="29"/>
    </row>
    <row r="164" spans="1:17">
      <c r="A164" s="38">
        <f t="shared" ref="A164:D164" si="176">A155</f>
        <v>5</v>
      </c>
      <c r="B164" s="23">
        <f t="shared" si="176"/>
        <v>0.5</v>
      </c>
      <c r="C164" s="23">
        <f t="shared" si="176"/>
        <v>0.8</v>
      </c>
      <c r="D164" s="22">
        <f t="shared" si="176"/>
        <v>1</v>
      </c>
      <c r="E164" s="24">
        <f t="shared" si="168"/>
        <v>0.64752604643839828</v>
      </c>
      <c r="F164" s="24"/>
      <c r="G164" s="24">
        <f t="shared" si="169"/>
        <v>2.2865633604774582</v>
      </c>
      <c r="H164" s="24"/>
      <c r="I164" s="24">
        <f t="shared" si="170"/>
        <v>-1.181650327776691</v>
      </c>
      <c r="J164" s="24"/>
      <c r="K164" s="24">
        <f t="shared" si="171"/>
        <v>0.97136338382447462</v>
      </c>
      <c r="L164" s="24">
        <f t="shared" si="172"/>
        <v>0.7253911656821953</v>
      </c>
      <c r="M164" s="22">
        <f t="shared" si="173"/>
        <v>1</v>
      </c>
      <c r="N164" s="27">
        <f t="shared" si="174"/>
        <v>0.19919882243242118</v>
      </c>
      <c r="O164" s="24">
        <f>O155</f>
        <v>3.7705005942691758E-2</v>
      </c>
      <c r="P164" s="28">
        <f t="shared" si="175"/>
        <v>-0.2746088343178047</v>
      </c>
      <c r="Q164" s="29"/>
    </row>
    <row r="165" spans="1:17">
      <c r="A165" s="38">
        <f t="shared" ref="A165:D165" si="177">A156</f>
        <v>5</v>
      </c>
      <c r="B165" s="23">
        <f t="shared" si="177"/>
        <v>1</v>
      </c>
      <c r="C165" s="23">
        <f t="shared" si="177"/>
        <v>0.9</v>
      </c>
      <c r="D165" s="22">
        <f t="shared" si="177"/>
        <v>1</v>
      </c>
      <c r="E165" s="24">
        <f t="shared" si="168"/>
        <v>0.64752604643839828</v>
      </c>
      <c r="F165" s="24"/>
      <c r="G165" s="24">
        <f t="shared" si="169"/>
        <v>2.2865633604774582</v>
      </c>
      <c r="H165" s="24"/>
      <c r="I165" s="24">
        <f t="shared" si="170"/>
        <v>-1.181650327776691</v>
      </c>
      <c r="J165" s="24"/>
      <c r="K165" s="24">
        <f t="shared" si="171"/>
        <v>1.5237827430914197</v>
      </c>
      <c r="L165" s="24">
        <f t="shared" si="172"/>
        <v>0.82109483348903367</v>
      </c>
      <c r="M165" s="22">
        <f t="shared" si="173"/>
        <v>1</v>
      </c>
      <c r="N165" s="27">
        <f t="shared" si="174"/>
        <v>0.14689810790664973</v>
      </c>
      <c r="O165" s="24">
        <f>O156</f>
        <v>1.6003529302158294E-2</v>
      </c>
      <c r="P165" s="28">
        <f t="shared" si="175"/>
        <v>-0.17890516651096633</v>
      </c>
      <c r="Q165" s="29"/>
    </row>
    <row r="170" spans="1:17" ht="22">
      <c r="A170" s="37" t="s">
        <v>8</v>
      </c>
      <c r="B170" s="16" t="s">
        <v>2</v>
      </c>
      <c r="C170" s="16" t="s">
        <v>3</v>
      </c>
      <c r="D170" s="15" t="s">
        <v>1</v>
      </c>
      <c r="E170" s="17" t="s">
        <v>5</v>
      </c>
      <c r="F170" s="18" t="s">
        <v>24</v>
      </c>
      <c r="G170" s="17" t="s">
        <v>6</v>
      </c>
      <c r="H170" s="18" t="s">
        <v>25</v>
      </c>
      <c r="I170" s="17" t="s">
        <v>7</v>
      </c>
      <c r="J170" s="18" t="s">
        <v>26</v>
      </c>
      <c r="K170" s="17" t="s">
        <v>4</v>
      </c>
      <c r="L170" s="17" t="s">
        <v>0</v>
      </c>
      <c r="M170" s="34" t="s">
        <v>15</v>
      </c>
      <c r="N170" s="17" t="s">
        <v>10</v>
      </c>
      <c r="O170" s="20" t="s">
        <v>28</v>
      </c>
      <c r="P170" s="18" t="s">
        <v>29</v>
      </c>
      <c r="Q170" s="21" t="s">
        <v>30</v>
      </c>
    </row>
    <row r="171" spans="1:17">
      <c r="A171" s="38">
        <f t="shared" ref="A171:D171" si="178">A162</f>
        <v>5</v>
      </c>
      <c r="B171" s="23">
        <f t="shared" si="178"/>
        <v>0.2</v>
      </c>
      <c r="C171" s="23">
        <f t="shared" si="178"/>
        <v>0.2</v>
      </c>
      <c r="D171" s="22">
        <f t="shared" si="178"/>
        <v>0</v>
      </c>
      <c r="E171" s="24">
        <f>E162</f>
        <v>0.64752604643839828</v>
      </c>
      <c r="F171" s="30">
        <f>Q171*B171</f>
        <v>1.6292195403843163E-2</v>
      </c>
      <c r="G171" s="24">
        <f>G162</f>
        <v>2.2865633604774582</v>
      </c>
      <c r="H171" s="30">
        <f>Q171*C171</f>
        <v>1.6292195403843163E-2</v>
      </c>
      <c r="I171" s="24">
        <f>I162</f>
        <v>-1.181650327776691</v>
      </c>
      <c r="J171" s="30">
        <f>Q171</f>
        <v>8.1460977019215813E-2</v>
      </c>
      <c r="K171" s="24">
        <f>E171*B171+G171*C171+I171</f>
        <v>-0.59483244639351973</v>
      </c>
      <c r="L171" s="24">
        <f t="shared" ref="L171:L174" si="179">L162</f>
        <v>0.35552683650411526</v>
      </c>
      <c r="M171" s="22">
        <f>IF(L171&gt;0.5,1,0)</f>
        <v>0</v>
      </c>
      <c r="N171" s="27">
        <f>N162</f>
        <v>0.22912750502949134</v>
      </c>
      <c r="O171" s="24">
        <f>(L171-D171)^2</f>
        <v>0.1263993314746239</v>
      </c>
      <c r="P171" s="28">
        <f>P162</f>
        <v>0.35552683650411526</v>
      </c>
      <c r="Q171" s="31">
        <f>P171*N171</f>
        <v>8.1460977019215813E-2</v>
      </c>
    </row>
    <row r="172" spans="1:17">
      <c r="A172" s="38">
        <f t="shared" ref="A172:E172" si="180">A163</f>
        <v>5</v>
      </c>
      <c r="B172" s="23">
        <f t="shared" si="180"/>
        <v>0.5</v>
      </c>
      <c r="C172" s="23">
        <f t="shared" si="180"/>
        <v>0.1</v>
      </c>
      <c r="D172" s="22">
        <f t="shared" si="180"/>
        <v>0</v>
      </c>
      <c r="E172" s="24">
        <f t="shared" si="180"/>
        <v>0.64752604643839828</v>
      </c>
      <c r="F172" s="30">
        <f t="shared" ref="F172:F174" si="181">Q172*B172</f>
        <v>3.9427492460714586E-2</v>
      </c>
      <c r="G172" s="24">
        <f t="shared" ref="G172:G174" si="182">G163</f>
        <v>2.2865633604774582</v>
      </c>
      <c r="H172" s="30">
        <f t="shared" ref="H172:H174" si="183">Q172*C172</f>
        <v>7.8854984921429179E-3</v>
      </c>
      <c r="I172" s="24">
        <f t="shared" ref="I172:I174" si="184">I163</f>
        <v>-1.181650327776691</v>
      </c>
      <c r="J172" s="30">
        <f t="shared" ref="J172:J174" si="185">Q172</f>
        <v>7.8854984921429172E-2</v>
      </c>
      <c r="K172" s="24">
        <f t="shared" ref="K172:K174" si="186">E172*B172+G172*C172+I172</f>
        <v>-0.62923096850974602</v>
      </c>
      <c r="L172" s="24">
        <f t="shared" si="179"/>
        <v>0.34768493380551357</v>
      </c>
      <c r="M172" s="22">
        <f t="shared" ref="M172:M174" si="187">IF(L172&gt;0.5,1,0)</f>
        <v>0</v>
      </c>
      <c r="N172" s="27">
        <f t="shared" ref="N172:N174" si="188">N163</f>
        <v>0.22680012061016921</v>
      </c>
      <c r="O172" s="24">
        <f t="shared" ref="O172:O174" si="189">(L172-D172)^2</f>
        <v>0.12088481319534436</v>
      </c>
      <c r="P172" s="28">
        <f t="shared" ref="P172:P174" si="190">P163</f>
        <v>0.34768493380551357</v>
      </c>
      <c r="Q172" s="31">
        <f t="shared" ref="Q172:Q174" si="191">P172*N172</f>
        <v>7.8854984921429172E-2</v>
      </c>
    </row>
    <row r="173" spans="1:17">
      <c r="A173" s="38">
        <f t="shared" ref="A173:E173" si="192">A164</f>
        <v>5</v>
      </c>
      <c r="B173" s="23">
        <f t="shared" si="192"/>
        <v>0.5</v>
      </c>
      <c r="C173" s="23">
        <f t="shared" si="192"/>
        <v>0.8</v>
      </c>
      <c r="D173" s="22">
        <f t="shared" si="192"/>
        <v>1</v>
      </c>
      <c r="E173" s="24">
        <f t="shared" si="192"/>
        <v>0.64752604643839828</v>
      </c>
      <c r="F173" s="30">
        <f t="shared" si="181"/>
        <v>-2.7350878212823272E-2</v>
      </c>
      <c r="G173" s="24">
        <f t="shared" si="182"/>
        <v>2.2865633604774582</v>
      </c>
      <c r="H173" s="30">
        <f t="shared" si="183"/>
        <v>-4.376140514051724E-2</v>
      </c>
      <c r="I173" s="24">
        <f t="shared" si="184"/>
        <v>-1.181650327776691</v>
      </c>
      <c r="J173" s="30">
        <f t="shared" si="185"/>
        <v>-5.4701756425646543E-2</v>
      </c>
      <c r="K173" s="24">
        <f t="shared" si="186"/>
        <v>0.97136338382447462</v>
      </c>
      <c r="L173" s="24">
        <f t="shared" si="179"/>
        <v>0.7253911656821953</v>
      </c>
      <c r="M173" s="22">
        <f t="shared" si="187"/>
        <v>1</v>
      </c>
      <c r="N173" s="27">
        <f t="shared" si="188"/>
        <v>0.19919882243242118</v>
      </c>
      <c r="O173" s="24">
        <f t="shared" si="189"/>
        <v>7.5410011885383516E-2</v>
      </c>
      <c r="P173" s="28">
        <f t="shared" si="190"/>
        <v>-0.2746088343178047</v>
      </c>
      <c r="Q173" s="31">
        <f t="shared" si="191"/>
        <v>-5.4701756425646543E-2</v>
      </c>
    </row>
    <row r="174" spans="1:17">
      <c r="A174" s="38">
        <f t="shared" ref="A174:E174" si="193">A165</f>
        <v>5</v>
      </c>
      <c r="B174" s="23">
        <f t="shared" si="193"/>
        <v>1</v>
      </c>
      <c r="C174" s="23">
        <f t="shared" si="193"/>
        <v>0.9</v>
      </c>
      <c r="D174" s="22">
        <f t="shared" si="193"/>
        <v>1</v>
      </c>
      <c r="E174" s="24">
        <f t="shared" si="193"/>
        <v>0.64752604643839828</v>
      </c>
      <c r="F174" s="30">
        <f t="shared" si="181"/>
        <v>-2.6280830455185068E-2</v>
      </c>
      <c r="G174" s="24">
        <f t="shared" si="182"/>
        <v>2.2865633604774582</v>
      </c>
      <c r="H174" s="30">
        <f t="shared" si="183"/>
        <v>-2.3652747409666563E-2</v>
      </c>
      <c r="I174" s="24">
        <f t="shared" si="184"/>
        <v>-1.181650327776691</v>
      </c>
      <c r="J174" s="30">
        <f t="shared" si="185"/>
        <v>-2.6280830455185068E-2</v>
      </c>
      <c r="K174" s="24">
        <f t="shared" si="186"/>
        <v>1.5237827430914197</v>
      </c>
      <c r="L174" s="24">
        <f t="shared" si="179"/>
        <v>0.82109483348903367</v>
      </c>
      <c r="M174" s="22">
        <f t="shared" si="187"/>
        <v>1</v>
      </c>
      <c r="N174" s="27">
        <f t="shared" si="188"/>
        <v>0.14689810790664973</v>
      </c>
      <c r="O174" s="24">
        <f t="shared" si="189"/>
        <v>3.2007058604316588E-2</v>
      </c>
      <c r="P174" s="28">
        <f t="shared" si="190"/>
        <v>-0.17890516651096633</v>
      </c>
      <c r="Q174" s="31">
        <f t="shared" si="191"/>
        <v>-2.6280830455185068E-2</v>
      </c>
    </row>
    <row r="176" spans="1:17">
      <c r="A176" s="35" t="s">
        <v>14</v>
      </c>
    </row>
    <row r="178" spans="2:9">
      <c r="B178" s="32"/>
      <c r="E178" s="33" t="s">
        <v>5</v>
      </c>
      <c r="G178" s="33" t="s">
        <v>6</v>
      </c>
      <c r="I178" s="33" t="s">
        <v>7</v>
      </c>
    </row>
    <row r="179" spans="2:9">
      <c r="E179" s="13">
        <f>E171-$B$1*AVERAGE(F171:F174)</f>
        <v>0.6370861504556512</v>
      </c>
      <c r="G179" s="13">
        <f>G171-$B$1*AVERAGE(H171:H174)</f>
        <v>2.5027456537484469</v>
      </c>
      <c r="I179" s="13">
        <f>I171-$B$1*AVERAGE(J171:J174)</f>
        <v>-1.578317203075758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CCC8-F0B4-4D94-A1DE-B91C7C765860}">
  <dimension ref="A1:Q150"/>
  <sheetViews>
    <sheetView tabSelected="1" topLeftCell="A30" zoomScale="84" zoomScaleNormal="84" workbookViewId="0">
      <selection activeCell="A140" sqref="A140:XFD141"/>
    </sheetView>
  </sheetViews>
  <sheetFormatPr baseColWidth="10" defaultRowHeight="14.5"/>
  <cols>
    <col min="1" max="1" width="6.81640625" style="39" customWidth="1"/>
    <col min="2" max="2" width="6.36328125" style="43" customWidth="1"/>
    <col min="3" max="3" width="6.26953125" style="43" customWidth="1"/>
    <col min="4" max="4" width="5.81640625" style="43" customWidth="1"/>
    <col min="5" max="5" width="6.26953125" style="43" customWidth="1"/>
    <col min="6" max="6" width="9.08984375" style="43" customWidth="1"/>
    <col min="7" max="7" width="6.90625" style="43" customWidth="1"/>
    <col min="8" max="8" width="9.90625" style="43" customWidth="1"/>
    <col min="9" max="9" width="7.6328125" style="43" customWidth="1"/>
    <col min="10" max="13" width="10.90625" style="43"/>
    <col min="14" max="14" width="8.54296875" style="43" customWidth="1"/>
    <col min="15" max="15" width="10.90625" style="46"/>
    <col min="16" max="16" width="9.54296875" style="43" customWidth="1"/>
    <col min="17" max="17" width="7.6328125" style="43" customWidth="1"/>
  </cols>
  <sheetData>
    <row r="1" spans="1:17" ht="18.5">
      <c r="A1" s="36" t="s">
        <v>17</v>
      </c>
      <c r="B1" s="42">
        <v>20</v>
      </c>
      <c r="C1" s="42"/>
      <c r="E1" s="44"/>
      <c r="F1" s="44"/>
      <c r="G1" s="44"/>
      <c r="H1" s="44"/>
      <c r="I1" s="44"/>
      <c r="J1" s="44"/>
      <c r="M1" s="45"/>
    </row>
    <row r="2" spans="1:17" ht="15" customHeight="1">
      <c r="B2" s="42"/>
      <c r="C2" s="42"/>
      <c r="E2" s="44"/>
      <c r="F2" s="44"/>
      <c r="G2" s="44"/>
      <c r="H2" s="44"/>
      <c r="I2" s="44"/>
      <c r="J2" s="44"/>
      <c r="M2" s="45"/>
    </row>
    <row r="3" spans="1:17">
      <c r="A3" s="39" t="s">
        <v>9</v>
      </c>
      <c r="B3" s="42"/>
      <c r="C3" s="42"/>
      <c r="E3" s="44"/>
      <c r="F3" s="44"/>
      <c r="G3" s="44"/>
      <c r="H3" s="44"/>
      <c r="I3" s="44"/>
      <c r="J3" s="44"/>
      <c r="M3" s="45"/>
    </row>
    <row r="4" spans="1:17">
      <c r="B4" s="42"/>
      <c r="C4" s="42"/>
      <c r="E4" s="44"/>
      <c r="F4" s="44"/>
      <c r="G4" s="44"/>
      <c r="H4" s="44"/>
      <c r="I4" s="44"/>
      <c r="J4" s="44"/>
      <c r="M4" s="45"/>
    </row>
    <row r="5" spans="1:17" s="3" customFormat="1" ht="29">
      <c r="A5" s="40" t="s">
        <v>8</v>
      </c>
      <c r="B5" s="5" t="s">
        <v>2</v>
      </c>
      <c r="C5" s="5" t="s">
        <v>3</v>
      </c>
      <c r="D5" s="4" t="s">
        <v>1</v>
      </c>
      <c r="E5" s="6" t="s">
        <v>5</v>
      </c>
      <c r="F5" s="7" t="s">
        <v>18</v>
      </c>
      <c r="G5" s="6" t="s">
        <v>6</v>
      </c>
      <c r="H5" s="7" t="s">
        <v>19</v>
      </c>
      <c r="I5" s="6" t="s">
        <v>7</v>
      </c>
      <c r="J5" s="7" t="s">
        <v>20</v>
      </c>
      <c r="K5" s="6" t="s">
        <v>4</v>
      </c>
      <c r="L5" s="6" t="s">
        <v>0</v>
      </c>
      <c r="M5" s="10" t="s">
        <v>23</v>
      </c>
      <c r="N5" s="6" t="s">
        <v>10</v>
      </c>
      <c r="O5" s="8" t="s">
        <v>22</v>
      </c>
      <c r="P5" s="7" t="s">
        <v>21</v>
      </c>
      <c r="Q5" s="9" t="s">
        <v>11</v>
      </c>
    </row>
    <row r="6" spans="1:17">
      <c r="A6" s="41">
        <v>1</v>
      </c>
      <c r="B6" s="47">
        <v>0.2</v>
      </c>
      <c r="C6" s="47">
        <v>0.2</v>
      </c>
      <c r="D6" s="48">
        <v>0</v>
      </c>
      <c r="E6" s="49">
        <v>0.1</v>
      </c>
      <c r="F6" s="49"/>
      <c r="G6" s="49">
        <v>-0.3</v>
      </c>
      <c r="H6" s="49"/>
      <c r="I6" s="49">
        <v>-0.1</v>
      </c>
      <c r="J6" s="49"/>
      <c r="K6" s="49">
        <f>E6*B6+G6*C6+I6</f>
        <v>-0.14000000000000001</v>
      </c>
      <c r="L6" s="49">
        <f>1/(1+EXP(-K6))</f>
        <v>0.4650570548417855</v>
      </c>
      <c r="M6" s="48">
        <f>IF(L6&gt;0.5,1,0)</f>
        <v>0</v>
      </c>
      <c r="N6" s="49"/>
      <c r="O6" s="50">
        <f>-(D6*LOG(L6)+(1-D6)*LOG(1-L6))</f>
        <v>0.27169253559428352</v>
      </c>
      <c r="P6" s="51"/>
      <c r="Q6" s="52"/>
    </row>
    <row r="7" spans="1:17">
      <c r="A7" s="41">
        <f>A6</f>
        <v>1</v>
      </c>
      <c r="B7" s="47">
        <v>0.5</v>
      </c>
      <c r="C7" s="47">
        <v>0.1</v>
      </c>
      <c r="D7" s="48">
        <v>0</v>
      </c>
      <c r="E7" s="49">
        <f>E6</f>
        <v>0.1</v>
      </c>
      <c r="F7" s="49"/>
      <c r="G7" s="49">
        <f>G6</f>
        <v>-0.3</v>
      </c>
      <c r="H7" s="49"/>
      <c r="I7" s="49">
        <f>I6</f>
        <v>-0.1</v>
      </c>
      <c r="J7" s="49"/>
      <c r="K7" s="49">
        <f t="shared" ref="K7:K9" si="0">E7*B7+G7*C7+I7</f>
        <v>-0.08</v>
      </c>
      <c r="L7" s="49">
        <f t="shared" ref="L7:L9" si="1">1/(1+EXP(-K7))</f>
        <v>0.48001065984441826</v>
      </c>
      <c r="M7" s="48">
        <f t="shared" ref="M7:M9" si="2">IF(L7&gt;0.5,1,0)</f>
        <v>0</v>
      </c>
      <c r="N7" s="49"/>
      <c r="O7" s="50">
        <f t="shared" ref="O7:O9" si="3">-(D7*LOG(L7)+(1-D7)*LOG(1-L7))</f>
        <v>0.28400555936339555</v>
      </c>
      <c r="P7" s="51"/>
      <c r="Q7" s="52"/>
    </row>
    <row r="8" spans="1:17">
      <c r="A8" s="41">
        <f t="shared" ref="A8:A9" si="4">A7</f>
        <v>1</v>
      </c>
      <c r="B8" s="47">
        <v>0.5</v>
      </c>
      <c r="C8" s="47">
        <v>0.8</v>
      </c>
      <c r="D8" s="48">
        <v>1</v>
      </c>
      <c r="E8" s="49">
        <f t="shared" ref="E8:E9" si="5">E7</f>
        <v>0.1</v>
      </c>
      <c r="F8" s="49"/>
      <c r="G8" s="49">
        <f t="shared" ref="G8:G9" si="6">G7</f>
        <v>-0.3</v>
      </c>
      <c r="H8" s="49"/>
      <c r="I8" s="49">
        <f t="shared" ref="I8:I9" si="7">I7</f>
        <v>-0.1</v>
      </c>
      <c r="J8" s="49"/>
      <c r="K8" s="49">
        <f t="shared" si="0"/>
        <v>-0.29000000000000004</v>
      </c>
      <c r="L8" s="49">
        <f t="shared" si="1"/>
        <v>0.42800386706848137</v>
      </c>
      <c r="M8" s="48">
        <f t="shared" si="2"/>
        <v>0</v>
      </c>
      <c r="N8" s="49"/>
      <c r="O8" s="50">
        <f t="shared" si="3"/>
        <v>0.368552307064128</v>
      </c>
      <c r="P8" s="51"/>
      <c r="Q8" s="52"/>
    </row>
    <row r="9" spans="1:17">
      <c r="A9" s="41">
        <f t="shared" si="4"/>
        <v>1</v>
      </c>
      <c r="B9" s="47">
        <v>1</v>
      </c>
      <c r="C9" s="47">
        <v>0.9</v>
      </c>
      <c r="D9" s="48">
        <v>1</v>
      </c>
      <c r="E9" s="49">
        <f t="shared" si="5"/>
        <v>0.1</v>
      </c>
      <c r="F9" s="49"/>
      <c r="G9" s="49">
        <f t="shared" si="6"/>
        <v>-0.3</v>
      </c>
      <c r="H9" s="49"/>
      <c r="I9" s="49">
        <f t="shared" si="7"/>
        <v>-0.1</v>
      </c>
      <c r="J9" s="49"/>
      <c r="K9" s="49">
        <f t="shared" si="0"/>
        <v>-0.27</v>
      </c>
      <c r="L9" s="49">
        <f t="shared" si="1"/>
        <v>0.43290709503454572</v>
      </c>
      <c r="M9" s="48">
        <f t="shared" si="2"/>
        <v>0</v>
      </c>
      <c r="N9" s="49"/>
      <c r="O9" s="50">
        <f t="shared" si="3"/>
        <v>0.36360529635570094</v>
      </c>
      <c r="P9" s="51"/>
      <c r="Q9" s="52"/>
    </row>
    <row r="10" spans="1:17">
      <c r="B10" s="42"/>
      <c r="C10" s="42"/>
      <c r="E10" s="44" t="s">
        <v>16</v>
      </c>
      <c r="F10" s="44"/>
      <c r="G10" s="44"/>
      <c r="H10" s="44"/>
      <c r="I10" s="44"/>
      <c r="J10" s="44"/>
      <c r="M10" s="45"/>
    </row>
    <row r="11" spans="1:17">
      <c r="B11" s="42"/>
      <c r="C11" s="42"/>
      <c r="E11" s="44"/>
      <c r="F11" s="44"/>
      <c r="G11" s="44"/>
      <c r="H11" s="44"/>
      <c r="I11" s="44"/>
      <c r="J11" s="44"/>
      <c r="M11" s="45"/>
      <c r="O11" s="53">
        <f>AVERAGE(O15:O18)</f>
        <v>0.321963924594377</v>
      </c>
      <c r="P11" s="43" t="s">
        <v>13</v>
      </c>
    </row>
    <row r="12" spans="1:17">
      <c r="A12" s="39" t="s">
        <v>12</v>
      </c>
      <c r="B12" s="42"/>
      <c r="C12" s="42"/>
      <c r="E12" s="44"/>
      <c r="F12" s="44"/>
      <c r="G12" s="44"/>
      <c r="H12" s="44"/>
      <c r="I12" s="44"/>
      <c r="J12" s="44"/>
      <c r="M12" s="45"/>
    </row>
    <row r="13" spans="1:17">
      <c r="B13" s="42"/>
      <c r="C13" s="42"/>
      <c r="E13" s="44"/>
      <c r="F13" s="44"/>
      <c r="G13" s="44"/>
      <c r="H13" s="44"/>
      <c r="I13" s="44"/>
      <c r="J13" s="44"/>
      <c r="M13" s="45"/>
    </row>
    <row r="14" spans="1:17" s="3" customFormat="1" ht="29">
      <c r="A14" s="40" t="s">
        <v>8</v>
      </c>
      <c r="B14" s="5" t="s">
        <v>2</v>
      </c>
      <c r="C14" s="5" t="s">
        <v>3</v>
      </c>
      <c r="D14" s="4" t="s">
        <v>1</v>
      </c>
      <c r="E14" s="6" t="s">
        <v>5</v>
      </c>
      <c r="F14" s="7" t="s">
        <v>18</v>
      </c>
      <c r="G14" s="6" t="s">
        <v>6</v>
      </c>
      <c r="H14" s="7" t="s">
        <v>19</v>
      </c>
      <c r="I14" s="6" t="s">
        <v>7</v>
      </c>
      <c r="J14" s="7" t="s">
        <v>20</v>
      </c>
      <c r="K14" s="6" t="s">
        <v>4</v>
      </c>
      <c r="L14" s="6" t="s">
        <v>0</v>
      </c>
      <c r="M14" s="10" t="s">
        <v>23</v>
      </c>
      <c r="N14" s="6" t="s">
        <v>10</v>
      </c>
      <c r="O14" s="8" t="s">
        <v>22</v>
      </c>
      <c r="P14" s="7" t="s">
        <v>21</v>
      </c>
      <c r="Q14" s="9" t="s">
        <v>11</v>
      </c>
    </row>
    <row r="15" spans="1:17">
      <c r="A15" s="41">
        <f>A6</f>
        <v>1</v>
      </c>
      <c r="B15" s="47">
        <f t="shared" ref="B15:E15" si="8">B6</f>
        <v>0.2</v>
      </c>
      <c r="C15" s="47">
        <f t="shared" si="8"/>
        <v>0.2</v>
      </c>
      <c r="D15" s="48">
        <f t="shared" si="8"/>
        <v>0</v>
      </c>
      <c r="E15" s="49">
        <f t="shared" si="8"/>
        <v>0.1</v>
      </c>
      <c r="F15" s="49"/>
      <c r="G15" s="49">
        <f>G6</f>
        <v>-0.3</v>
      </c>
      <c r="H15" s="49"/>
      <c r="I15" s="49">
        <f>I6</f>
        <v>-0.1</v>
      </c>
      <c r="J15" s="49"/>
      <c r="K15" s="49">
        <f>E15*B15+G15*C15+I15</f>
        <v>-0.14000000000000001</v>
      </c>
      <c r="L15" s="49">
        <f>L6</f>
        <v>0.4650570548417855</v>
      </c>
      <c r="M15" s="48">
        <f>IF(L15&gt;0.5,1,0)</f>
        <v>0</v>
      </c>
      <c r="N15" s="54">
        <f>L15*(1-L15)</f>
        <v>0.24877899058367001</v>
      </c>
      <c r="O15" s="50">
        <f>O6</f>
        <v>0.27169253559428352</v>
      </c>
      <c r="P15" s="55">
        <f>L15-D15</f>
        <v>0.4650570548417855</v>
      </c>
      <c r="Q15" s="56"/>
    </row>
    <row r="16" spans="1:17">
      <c r="A16" s="41">
        <f t="shared" ref="A16:D18" si="9">A7</f>
        <v>1</v>
      </c>
      <c r="B16" s="47">
        <f t="shared" si="9"/>
        <v>0.5</v>
      </c>
      <c r="C16" s="47">
        <f t="shared" si="9"/>
        <v>0.1</v>
      </c>
      <c r="D16" s="48">
        <f t="shared" si="9"/>
        <v>0</v>
      </c>
      <c r="E16" s="49">
        <f t="shared" ref="E16:E18" si="10">E15</f>
        <v>0.1</v>
      </c>
      <c r="F16" s="49"/>
      <c r="G16" s="49">
        <f t="shared" ref="G16:G18" si="11">G15</f>
        <v>-0.3</v>
      </c>
      <c r="H16" s="49"/>
      <c r="I16" s="49">
        <f t="shared" ref="I16:I18" si="12">I15</f>
        <v>-0.1</v>
      </c>
      <c r="J16" s="49"/>
      <c r="K16" s="49">
        <f t="shared" ref="K16:K18" si="13">E16*B16+G16*C16+I16</f>
        <v>-0.08</v>
      </c>
      <c r="L16" s="49">
        <f t="shared" ref="L16:L18" si="14">L7</f>
        <v>0.48001065984441826</v>
      </c>
      <c r="M16" s="48">
        <f t="shared" ref="M16:M18" si="15">IF(L16&gt;0.5,1,0)</f>
        <v>0</v>
      </c>
      <c r="N16" s="54">
        <f t="shared" ref="N16:N18" si="16">L16*(1-L16)</f>
        <v>0.24960042628014445</v>
      </c>
      <c r="O16" s="50">
        <f>O7</f>
        <v>0.28400555936339555</v>
      </c>
      <c r="P16" s="55">
        <f t="shared" ref="P16:P18" si="17">L16-D16</f>
        <v>0.48001065984441826</v>
      </c>
      <c r="Q16" s="56"/>
    </row>
    <row r="17" spans="1:17">
      <c r="A17" s="41">
        <f t="shared" si="9"/>
        <v>1</v>
      </c>
      <c r="B17" s="47">
        <f t="shared" si="9"/>
        <v>0.5</v>
      </c>
      <c r="C17" s="47">
        <f t="shared" si="9"/>
        <v>0.8</v>
      </c>
      <c r="D17" s="48">
        <f t="shared" si="9"/>
        <v>1</v>
      </c>
      <c r="E17" s="49">
        <f t="shared" si="10"/>
        <v>0.1</v>
      </c>
      <c r="F17" s="49"/>
      <c r="G17" s="49">
        <f t="shared" si="11"/>
        <v>-0.3</v>
      </c>
      <c r="H17" s="49"/>
      <c r="I17" s="49">
        <f t="shared" si="12"/>
        <v>-0.1</v>
      </c>
      <c r="J17" s="49"/>
      <c r="K17" s="49">
        <f t="shared" si="13"/>
        <v>-0.29000000000000004</v>
      </c>
      <c r="L17" s="49">
        <f t="shared" si="14"/>
        <v>0.42800386706848137</v>
      </c>
      <c r="M17" s="48">
        <f t="shared" si="15"/>
        <v>0</v>
      </c>
      <c r="N17" s="54">
        <f t="shared" si="16"/>
        <v>0.2448165568429071</v>
      </c>
      <c r="O17" s="50">
        <f>O8</f>
        <v>0.368552307064128</v>
      </c>
      <c r="P17" s="55">
        <f t="shared" si="17"/>
        <v>-0.57199613293151863</v>
      </c>
      <c r="Q17" s="56"/>
    </row>
    <row r="18" spans="1:17">
      <c r="A18" s="41">
        <f t="shared" si="9"/>
        <v>1</v>
      </c>
      <c r="B18" s="47">
        <f t="shared" si="9"/>
        <v>1</v>
      </c>
      <c r="C18" s="47">
        <f t="shared" si="9"/>
        <v>0.9</v>
      </c>
      <c r="D18" s="48">
        <f t="shared" si="9"/>
        <v>1</v>
      </c>
      <c r="E18" s="49">
        <f t="shared" si="10"/>
        <v>0.1</v>
      </c>
      <c r="F18" s="49"/>
      <c r="G18" s="49">
        <f t="shared" si="11"/>
        <v>-0.3</v>
      </c>
      <c r="H18" s="49"/>
      <c r="I18" s="49">
        <f t="shared" si="12"/>
        <v>-0.1</v>
      </c>
      <c r="J18" s="49"/>
      <c r="K18" s="49">
        <f t="shared" si="13"/>
        <v>-0.27</v>
      </c>
      <c r="L18" s="49">
        <f t="shared" si="14"/>
        <v>0.43290709503454572</v>
      </c>
      <c r="M18" s="48">
        <f t="shared" si="15"/>
        <v>0</v>
      </c>
      <c r="N18" s="54">
        <f t="shared" si="16"/>
        <v>0.24549854210329652</v>
      </c>
      <c r="O18" s="50">
        <f>O9</f>
        <v>0.36360529635570094</v>
      </c>
      <c r="P18" s="55">
        <f t="shared" si="17"/>
        <v>-0.56709290496545428</v>
      </c>
      <c r="Q18" s="56"/>
    </row>
    <row r="19" spans="1:17">
      <c r="B19" s="42"/>
      <c r="C19" s="42"/>
      <c r="E19" s="44"/>
      <c r="F19" s="44"/>
      <c r="G19" s="44"/>
      <c r="H19" s="44"/>
      <c r="I19" s="44"/>
      <c r="J19" s="44"/>
      <c r="M19" s="45"/>
    </row>
    <row r="20" spans="1:17">
      <c r="B20" s="42"/>
      <c r="C20" s="42"/>
      <c r="E20" s="44"/>
      <c r="F20" s="44"/>
      <c r="G20" s="44"/>
      <c r="H20" s="44"/>
      <c r="I20" s="44"/>
      <c r="J20" s="44"/>
      <c r="M20" s="45"/>
    </row>
    <row r="21" spans="1:17" ht="29">
      <c r="A21" s="40" t="s">
        <v>8</v>
      </c>
      <c r="B21" s="5" t="s">
        <v>2</v>
      </c>
      <c r="C21" s="5" t="s">
        <v>3</v>
      </c>
      <c r="D21" s="4" t="s">
        <v>1</v>
      </c>
      <c r="E21" s="6" t="s">
        <v>5</v>
      </c>
      <c r="F21" s="7" t="s">
        <v>18</v>
      </c>
      <c r="G21" s="6" t="s">
        <v>6</v>
      </c>
      <c r="H21" s="7" t="s">
        <v>19</v>
      </c>
      <c r="I21" s="6" t="s">
        <v>7</v>
      </c>
      <c r="J21" s="7" t="s">
        <v>20</v>
      </c>
      <c r="K21" s="6" t="s">
        <v>4</v>
      </c>
      <c r="L21" s="6" t="s">
        <v>0</v>
      </c>
      <c r="M21" s="10" t="s">
        <v>23</v>
      </c>
      <c r="N21" s="6" t="s">
        <v>10</v>
      </c>
      <c r="O21" s="8" t="s">
        <v>22</v>
      </c>
      <c r="P21" s="7" t="s">
        <v>21</v>
      </c>
      <c r="Q21" s="9" t="s">
        <v>11</v>
      </c>
    </row>
    <row r="22" spans="1:17">
      <c r="A22" s="41">
        <f>A15</f>
        <v>1</v>
      </c>
      <c r="B22" s="47">
        <f>B15</f>
        <v>0.2</v>
      </c>
      <c r="C22" s="47">
        <f>C15</f>
        <v>0.2</v>
      </c>
      <c r="D22" s="48">
        <f>D15</f>
        <v>0</v>
      </c>
      <c r="E22" s="49">
        <f>E15</f>
        <v>0.1</v>
      </c>
      <c r="F22" s="57">
        <f>Q22*B22</f>
        <v>2.3139284933470772E-2</v>
      </c>
      <c r="G22" s="49">
        <f>G15</f>
        <v>-0.3</v>
      </c>
      <c r="H22" s="57">
        <f>Q22*C22</f>
        <v>2.3139284933470772E-2</v>
      </c>
      <c r="I22" s="49">
        <f>I15</f>
        <v>-0.1</v>
      </c>
      <c r="J22" s="57">
        <f>Q22</f>
        <v>0.11569642466735386</v>
      </c>
      <c r="K22" s="49">
        <f>E22*B22+G22*C22+I22</f>
        <v>-0.14000000000000001</v>
      </c>
      <c r="L22" s="49">
        <f>L15</f>
        <v>0.4650570548417855</v>
      </c>
      <c r="M22" s="48">
        <f>IF(L22&gt;0.5,1,0)</f>
        <v>0</v>
      </c>
      <c r="N22" s="54">
        <f>N15</f>
        <v>0.24877899058367001</v>
      </c>
      <c r="O22" s="50">
        <f>O15</f>
        <v>0.27169253559428352</v>
      </c>
      <c r="P22" s="55">
        <f>P15</f>
        <v>0.4650570548417855</v>
      </c>
      <c r="Q22" s="58">
        <f>P22*N22</f>
        <v>0.11569642466735386</v>
      </c>
    </row>
    <row r="23" spans="1:17">
      <c r="A23" s="41">
        <f>A16</f>
        <v>1</v>
      </c>
      <c r="B23" s="47">
        <f>B16</f>
        <v>0.5</v>
      </c>
      <c r="C23" s="47">
        <f>C16</f>
        <v>0.1</v>
      </c>
      <c r="D23" s="48">
        <f>D16</f>
        <v>0</v>
      </c>
      <c r="E23" s="49">
        <f>E16</f>
        <v>0.1</v>
      </c>
      <c r="F23" s="57">
        <f>Q23*B23</f>
        <v>5.9905432658090105E-2</v>
      </c>
      <c r="G23" s="49">
        <f>G16</f>
        <v>-0.3</v>
      </c>
      <c r="H23" s="57">
        <f>Q23*C23</f>
        <v>1.1981086531618022E-2</v>
      </c>
      <c r="I23" s="49">
        <f>I16</f>
        <v>-0.1</v>
      </c>
      <c r="J23" s="57">
        <f t="shared" ref="J23:J25" si="18">Q23</f>
        <v>0.11981086531618021</v>
      </c>
      <c r="K23" s="49">
        <f t="shared" ref="K23:K25" si="19">E23*B23+G23*C23+I23</f>
        <v>-0.08</v>
      </c>
      <c r="L23" s="49">
        <f>L16</f>
        <v>0.48001065984441826</v>
      </c>
      <c r="M23" s="48">
        <f t="shared" ref="M23:M25" si="20">IF(L23&gt;0.5,1,0)</f>
        <v>0</v>
      </c>
      <c r="N23" s="54">
        <f>N16</f>
        <v>0.24960042628014445</v>
      </c>
      <c r="O23" s="50">
        <f>O16</f>
        <v>0.28400555936339555</v>
      </c>
      <c r="P23" s="55">
        <f>P16</f>
        <v>0.48001065984441826</v>
      </c>
      <c r="Q23" s="58">
        <f>P23*N23</f>
        <v>0.11981086531618021</v>
      </c>
    </row>
    <row r="24" spans="1:17">
      <c r="A24" s="41">
        <f>A17</f>
        <v>1</v>
      </c>
      <c r="B24" s="47">
        <f>B17</f>
        <v>0.5</v>
      </c>
      <c r="C24" s="47">
        <f>C17</f>
        <v>0.8</v>
      </c>
      <c r="D24" s="48">
        <f>D17</f>
        <v>1</v>
      </c>
      <c r="E24" s="49">
        <f>E17</f>
        <v>0.1</v>
      </c>
      <c r="F24" s="57">
        <f>Q24*B24</f>
        <v>-7.0017061895876087E-2</v>
      </c>
      <c r="G24" s="49">
        <f>G17</f>
        <v>-0.3</v>
      </c>
      <c r="H24" s="57">
        <f>Q24*C24</f>
        <v>-0.11202729903340175</v>
      </c>
      <c r="I24" s="49">
        <f>I17</f>
        <v>-0.1</v>
      </c>
      <c r="J24" s="57">
        <f t="shared" si="18"/>
        <v>-0.14003412379175217</v>
      </c>
      <c r="K24" s="49">
        <f t="shared" si="19"/>
        <v>-0.29000000000000004</v>
      </c>
      <c r="L24" s="49">
        <f>L17</f>
        <v>0.42800386706848137</v>
      </c>
      <c r="M24" s="48">
        <f t="shared" si="20"/>
        <v>0</v>
      </c>
      <c r="N24" s="54">
        <f>N17</f>
        <v>0.2448165568429071</v>
      </c>
      <c r="O24" s="50">
        <f>O17</f>
        <v>0.368552307064128</v>
      </c>
      <c r="P24" s="55">
        <f>P17</f>
        <v>-0.57199613293151863</v>
      </c>
      <c r="Q24" s="58">
        <f>P24*N24</f>
        <v>-0.14003412379175217</v>
      </c>
    </row>
    <row r="25" spans="1:17">
      <c r="A25" s="41">
        <f>A18</f>
        <v>1</v>
      </c>
      <c r="B25" s="47">
        <f>B18</f>
        <v>1</v>
      </c>
      <c r="C25" s="47">
        <f>C18</f>
        <v>0.9</v>
      </c>
      <c r="D25" s="48">
        <f>D18</f>
        <v>1</v>
      </c>
      <c r="E25" s="49">
        <f>E18</f>
        <v>0.1</v>
      </c>
      <c r="F25" s="57">
        <f>Q25*B25</f>
        <v>-0.13922048140614232</v>
      </c>
      <c r="G25" s="49">
        <f>G18</f>
        <v>-0.3</v>
      </c>
      <c r="H25" s="57">
        <f>Q25*C25</f>
        <v>-0.12529843326552809</v>
      </c>
      <c r="I25" s="49">
        <f>I18</f>
        <v>-0.1</v>
      </c>
      <c r="J25" s="57">
        <f t="shared" si="18"/>
        <v>-0.13922048140614232</v>
      </c>
      <c r="K25" s="49">
        <f t="shared" si="19"/>
        <v>-0.27</v>
      </c>
      <c r="L25" s="49">
        <f>L18</f>
        <v>0.43290709503454572</v>
      </c>
      <c r="M25" s="48">
        <f t="shared" si="20"/>
        <v>0</v>
      </c>
      <c r="N25" s="54">
        <f>N18</f>
        <v>0.24549854210329652</v>
      </c>
      <c r="O25" s="50">
        <f>O18</f>
        <v>0.36360529635570094</v>
      </c>
      <c r="P25" s="55">
        <f>P18</f>
        <v>-0.56709290496545428</v>
      </c>
      <c r="Q25" s="58">
        <f>P25*N25</f>
        <v>-0.13922048140614232</v>
      </c>
    </row>
    <row r="26" spans="1:17">
      <c r="B26" s="42"/>
      <c r="C26" s="42"/>
      <c r="E26" s="44"/>
      <c r="F26" s="44"/>
      <c r="G26" s="44"/>
      <c r="H26" s="44"/>
      <c r="I26" s="44"/>
      <c r="J26" s="44"/>
      <c r="M26" s="45"/>
    </row>
    <row r="27" spans="1:17">
      <c r="A27" s="39" t="s">
        <v>14</v>
      </c>
      <c r="B27" s="42"/>
      <c r="C27" s="42"/>
      <c r="E27" s="44"/>
      <c r="F27" s="44"/>
      <c r="G27" s="44"/>
      <c r="H27" s="44"/>
      <c r="I27" s="44"/>
      <c r="J27" s="44"/>
      <c r="M27" s="45"/>
    </row>
    <row r="28" spans="1:17">
      <c r="B28" s="42"/>
      <c r="C28" s="42"/>
      <c r="E28" s="44"/>
      <c r="F28" s="44"/>
      <c r="G28" s="44"/>
      <c r="H28" s="44"/>
      <c r="I28" s="44"/>
      <c r="J28" s="44"/>
      <c r="M28" s="45"/>
    </row>
    <row r="29" spans="1:17">
      <c r="B29" s="2"/>
      <c r="C29" s="42"/>
      <c r="E29" s="1" t="s">
        <v>5</v>
      </c>
      <c r="F29" s="44"/>
      <c r="G29" s="1" t="s">
        <v>6</v>
      </c>
      <c r="H29" s="44"/>
      <c r="I29" s="1" t="s">
        <v>7</v>
      </c>
      <c r="J29" s="44"/>
      <c r="M29" s="45"/>
    </row>
    <row r="30" spans="1:17">
      <c r="B30" s="42"/>
      <c r="C30" s="42"/>
      <c r="E30" s="44">
        <f>E22-$B$1*AVERAGE(F22:F25)</f>
        <v>0.73096412855228765</v>
      </c>
      <c r="F30" s="44"/>
      <c r="G30" s="44">
        <f>G22-$B$1*AVERAGE(H22:H25)</f>
        <v>0.71102680416920516</v>
      </c>
      <c r="H30" s="44"/>
      <c r="I30" s="44">
        <f>I22-$B$1*AVERAGE(J22:J25)</f>
        <v>0.11873657607180213</v>
      </c>
      <c r="J30" s="44"/>
      <c r="M30" s="45"/>
    </row>
    <row r="33" spans="1:17">
      <c r="A33" s="39" t="s">
        <v>9</v>
      </c>
      <c r="B33" s="42"/>
      <c r="C33" s="42"/>
      <c r="E33" s="44"/>
      <c r="F33" s="44"/>
      <c r="G33" s="44"/>
      <c r="H33" s="44"/>
      <c r="I33" s="44"/>
      <c r="J33" s="44"/>
      <c r="M33" s="45"/>
    </row>
    <row r="34" spans="1:17">
      <c r="B34" s="42"/>
      <c r="C34" s="42"/>
      <c r="E34" s="44"/>
      <c r="F34" s="44"/>
      <c r="G34" s="44"/>
      <c r="H34" s="44"/>
      <c r="I34" s="44"/>
      <c r="J34" s="44"/>
      <c r="M34" s="45"/>
    </row>
    <row r="35" spans="1:17" s="3" customFormat="1" ht="29">
      <c r="A35" s="40" t="s">
        <v>8</v>
      </c>
      <c r="B35" s="5" t="s">
        <v>2</v>
      </c>
      <c r="C35" s="5" t="s">
        <v>3</v>
      </c>
      <c r="D35" s="4" t="s">
        <v>1</v>
      </c>
      <c r="E35" s="6" t="s">
        <v>5</v>
      </c>
      <c r="F35" s="7" t="s">
        <v>18</v>
      </c>
      <c r="G35" s="6" t="s">
        <v>6</v>
      </c>
      <c r="H35" s="7" t="s">
        <v>19</v>
      </c>
      <c r="I35" s="6" t="s">
        <v>7</v>
      </c>
      <c r="J35" s="7" t="s">
        <v>20</v>
      </c>
      <c r="K35" s="6" t="s">
        <v>4</v>
      </c>
      <c r="L35" s="6" t="s">
        <v>0</v>
      </c>
      <c r="M35" s="10" t="s">
        <v>23</v>
      </c>
      <c r="N35" s="6" t="s">
        <v>10</v>
      </c>
      <c r="O35" s="8" t="s">
        <v>22</v>
      </c>
      <c r="P35" s="7" t="s">
        <v>21</v>
      </c>
      <c r="Q35" s="9" t="s">
        <v>11</v>
      </c>
    </row>
    <row r="36" spans="1:17">
      <c r="A36" s="41">
        <f>A6+1</f>
        <v>2</v>
      </c>
      <c r="B36" s="47">
        <v>0.2</v>
      </c>
      <c r="C36" s="47">
        <v>0.2</v>
      </c>
      <c r="D36" s="48">
        <v>0</v>
      </c>
      <c r="E36" s="49">
        <f>E30</f>
        <v>0.73096412855228765</v>
      </c>
      <c r="F36" s="49"/>
      <c r="G36" s="49">
        <f>G30</f>
        <v>0.71102680416920516</v>
      </c>
      <c r="H36" s="49"/>
      <c r="I36" s="49">
        <f>I30</f>
        <v>0.11873657607180213</v>
      </c>
      <c r="J36" s="49"/>
      <c r="K36" s="49">
        <f>E36*B36+G36*C36+I36</f>
        <v>0.40713476261610071</v>
      </c>
      <c r="L36" s="49">
        <f>1/(1+EXP(-K36))</f>
        <v>0.60040065009410526</v>
      </c>
      <c r="M36" s="48">
        <f>IF(L36&gt;0.5,1,0)</f>
        <v>1</v>
      </c>
      <c r="N36" s="49"/>
      <c r="O36" s="50">
        <f>-(D36*LOG(L36)+(1-D36)*LOG(1-L36))</f>
        <v>0.39837522698387384</v>
      </c>
      <c r="P36" s="51"/>
      <c r="Q36" s="52"/>
    </row>
    <row r="37" spans="1:17">
      <c r="A37" s="41">
        <f>A36</f>
        <v>2</v>
      </c>
      <c r="B37" s="47">
        <v>0.5</v>
      </c>
      <c r="C37" s="47">
        <v>0.1</v>
      </c>
      <c r="D37" s="48">
        <v>0</v>
      </c>
      <c r="E37" s="49">
        <f>E36</f>
        <v>0.73096412855228765</v>
      </c>
      <c r="F37" s="49"/>
      <c r="G37" s="49">
        <f>G36</f>
        <v>0.71102680416920516</v>
      </c>
      <c r="H37" s="49"/>
      <c r="I37" s="49">
        <f>I36</f>
        <v>0.11873657607180213</v>
      </c>
      <c r="J37" s="49"/>
      <c r="K37" s="49">
        <f t="shared" ref="K37:K39" si="21">E37*B37+G37*C37+I37</f>
        <v>0.55532132076486651</v>
      </c>
      <c r="L37" s="49">
        <f t="shared" ref="L37:L39" si="22">1/(1+EXP(-K37))</f>
        <v>0.63536929459801961</v>
      </c>
      <c r="M37" s="48">
        <f t="shared" ref="M37:M39" si="23">IF(L37&gt;0.5,1,0)</f>
        <v>1</v>
      </c>
      <c r="N37" s="49"/>
      <c r="O37" s="50">
        <f t="shared" ref="O37:O39" si="24">-(D37*LOG(L37)+(1-D37)*LOG(1-L37))</f>
        <v>0.43814676238111477</v>
      </c>
      <c r="P37" s="51"/>
      <c r="Q37" s="52"/>
    </row>
    <row r="38" spans="1:17">
      <c r="A38" s="41">
        <f t="shared" ref="A38:A39" si="25">A37</f>
        <v>2</v>
      </c>
      <c r="B38" s="47">
        <v>0.5</v>
      </c>
      <c r="C38" s="47">
        <v>0.8</v>
      </c>
      <c r="D38" s="48">
        <v>1</v>
      </c>
      <c r="E38" s="49">
        <f t="shared" ref="E38:E39" si="26">E37</f>
        <v>0.73096412855228765</v>
      </c>
      <c r="F38" s="49"/>
      <c r="G38" s="49">
        <f t="shared" ref="G38:G39" si="27">G37</f>
        <v>0.71102680416920516</v>
      </c>
      <c r="H38" s="49"/>
      <c r="I38" s="49">
        <f t="shared" ref="I38:I39" si="28">I37</f>
        <v>0.11873657607180213</v>
      </c>
      <c r="J38" s="49"/>
      <c r="K38" s="49">
        <f t="shared" si="21"/>
        <v>1.05304008368331</v>
      </c>
      <c r="L38" s="49">
        <f t="shared" si="22"/>
        <v>0.74135825124443422</v>
      </c>
      <c r="M38" s="48">
        <f t="shared" si="23"/>
        <v>1</v>
      </c>
      <c r="N38" s="49"/>
      <c r="O38" s="50">
        <f t="shared" si="24"/>
        <v>0.12997187442282895</v>
      </c>
      <c r="P38" s="51"/>
      <c r="Q38" s="52"/>
    </row>
    <row r="39" spans="1:17">
      <c r="A39" s="41">
        <f t="shared" si="25"/>
        <v>2</v>
      </c>
      <c r="B39" s="47">
        <v>1</v>
      </c>
      <c r="C39" s="47">
        <v>0.9</v>
      </c>
      <c r="D39" s="48">
        <v>1</v>
      </c>
      <c r="E39" s="49">
        <f t="shared" si="26"/>
        <v>0.73096412855228765</v>
      </c>
      <c r="F39" s="49"/>
      <c r="G39" s="49">
        <f t="shared" si="27"/>
        <v>0.71102680416920516</v>
      </c>
      <c r="H39" s="49"/>
      <c r="I39" s="49">
        <f t="shared" si="28"/>
        <v>0.11873657607180213</v>
      </c>
      <c r="J39" s="49"/>
      <c r="K39" s="49">
        <f t="shared" si="21"/>
        <v>1.4896248283763744</v>
      </c>
      <c r="L39" s="49">
        <f t="shared" si="22"/>
        <v>0.81602195469591132</v>
      </c>
      <c r="M39" s="48">
        <f t="shared" si="23"/>
        <v>1</v>
      </c>
      <c r="N39" s="49"/>
      <c r="O39" s="50">
        <f t="shared" si="24"/>
        <v>8.8298156595378749E-2</v>
      </c>
      <c r="P39" s="51"/>
      <c r="Q39" s="52"/>
    </row>
    <row r="40" spans="1:17">
      <c r="B40" s="42"/>
      <c r="C40" s="42"/>
      <c r="E40" s="44" t="s">
        <v>16</v>
      </c>
      <c r="F40" s="44"/>
      <c r="G40" s="44"/>
      <c r="H40" s="44"/>
      <c r="I40" s="44"/>
      <c r="J40" s="44"/>
      <c r="M40" s="45"/>
    </row>
    <row r="41" spans="1:17">
      <c r="B41" s="42"/>
      <c r="C41" s="42"/>
      <c r="E41" s="44"/>
      <c r="F41" s="44"/>
      <c r="G41" s="44"/>
      <c r="H41" s="44"/>
      <c r="I41" s="44"/>
      <c r="J41" s="44"/>
      <c r="M41" s="45"/>
      <c r="O41" s="53">
        <f>AVERAGE(O45:O48)</f>
        <v>0.2636980050957991</v>
      </c>
      <c r="P41" s="43" t="s">
        <v>13</v>
      </c>
    </row>
    <row r="42" spans="1:17">
      <c r="A42" s="39" t="s">
        <v>12</v>
      </c>
      <c r="B42" s="42"/>
      <c r="C42" s="42"/>
      <c r="E42" s="44"/>
      <c r="F42" s="44"/>
      <c r="G42" s="44"/>
      <c r="H42" s="44"/>
      <c r="I42" s="44"/>
      <c r="J42" s="44"/>
      <c r="M42" s="45"/>
    </row>
    <row r="43" spans="1:17">
      <c r="B43" s="42"/>
      <c r="C43" s="42"/>
      <c r="E43" s="44"/>
      <c r="F43" s="44"/>
      <c r="G43" s="44"/>
      <c r="H43" s="44"/>
      <c r="I43" s="44"/>
      <c r="J43" s="44"/>
      <c r="M43" s="45"/>
    </row>
    <row r="44" spans="1:17" s="3" customFormat="1" ht="29">
      <c r="A44" s="40" t="s">
        <v>8</v>
      </c>
      <c r="B44" s="5" t="s">
        <v>2</v>
      </c>
      <c r="C44" s="5" t="s">
        <v>3</v>
      </c>
      <c r="D44" s="4" t="s">
        <v>1</v>
      </c>
      <c r="E44" s="6" t="s">
        <v>5</v>
      </c>
      <c r="F44" s="7" t="s">
        <v>18</v>
      </c>
      <c r="G44" s="6" t="s">
        <v>6</v>
      </c>
      <c r="H44" s="7" t="s">
        <v>19</v>
      </c>
      <c r="I44" s="6" t="s">
        <v>7</v>
      </c>
      <c r="J44" s="7" t="s">
        <v>20</v>
      </c>
      <c r="K44" s="6" t="s">
        <v>4</v>
      </c>
      <c r="L44" s="6" t="s">
        <v>0</v>
      </c>
      <c r="M44" s="10" t="s">
        <v>23</v>
      </c>
      <c r="N44" s="6" t="s">
        <v>10</v>
      </c>
      <c r="O44" s="8" t="s">
        <v>22</v>
      </c>
      <c r="P44" s="7" t="s">
        <v>21</v>
      </c>
      <c r="Q44" s="9" t="s">
        <v>11</v>
      </c>
    </row>
    <row r="45" spans="1:17">
      <c r="A45" s="41">
        <f>A36</f>
        <v>2</v>
      </c>
      <c r="B45" s="47">
        <f t="shared" ref="B45:E45" si="29">B36</f>
        <v>0.2</v>
      </c>
      <c r="C45" s="47">
        <f t="shared" si="29"/>
        <v>0.2</v>
      </c>
      <c r="D45" s="48">
        <f t="shared" si="29"/>
        <v>0</v>
      </c>
      <c r="E45" s="49">
        <f t="shared" si="29"/>
        <v>0.73096412855228765</v>
      </c>
      <c r="F45" s="49"/>
      <c r="G45" s="49">
        <f>G36</f>
        <v>0.71102680416920516</v>
      </c>
      <c r="H45" s="49"/>
      <c r="I45" s="49">
        <f>I36</f>
        <v>0.11873657607180213</v>
      </c>
      <c r="J45" s="49"/>
      <c r="K45" s="49">
        <f>E45*B45+G45*C45+I45</f>
        <v>0.40713476261610071</v>
      </c>
      <c r="L45" s="49">
        <f>L36</f>
        <v>0.60040065009410526</v>
      </c>
      <c r="M45" s="48">
        <f>IF(L45&gt;0.5,1,0)</f>
        <v>1</v>
      </c>
      <c r="N45" s="54">
        <f>L45*(1-L45)</f>
        <v>0.23991970946068103</v>
      </c>
      <c r="O45" s="50">
        <f>O36</f>
        <v>0.39837522698387384</v>
      </c>
      <c r="P45" s="55">
        <f>L45-D45</f>
        <v>0.60040065009410526</v>
      </c>
      <c r="Q45" s="56"/>
    </row>
    <row r="46" spans="1:17">
      <c r="A46" s="41">
        <f t="shared" ref="A46:D46" si="30">A37</f>
        <v>2</v>
      </c>
      <c r="B46" s="47">
        <f t="shared" si="30"/>
        <v>0.5</v>
      </c>
      <c r="C46" s="47">
        <f t="shared" si="30"/>
        <v>0.1</v>
      </c>
      <c r="D46" s="48">
        <f t="shared" si="30"/>
        <v>0</v>
      </c>
      <c r="E46" s="49">
        <f t="shared" ref="E46:E48" si="31">E45</f>
        <v>0.73096412855228765</v>
      </c>
      <c r="F46" s="49"/>
      <c r="G46" s="49">
        <f t="shared" ref="G46:G48" si="32">G45</f>
        <v>0.71102680416920516</v>
      </c>
      <c r="H46" s="49"/>
      <c r="I46" s="49">
        <f t="shared" ref="I46:I48" si="33">I45</f>
        <v>0.11873657607180213</v>
      </c>
      <c r="J46" s="49"/>
      <c r="K46" s="49">
        <f t="shared" ref="K46:K48" si="34">E46*B46+G46*C46+I46</f>
        <v>0.55532132076486651</v>
      </c>
      <c r="L46" s="49">
        <f t="shared" ref="L46:L48" si="35">L37</f>
        <v>0.63536929459801961</v>
      </c>
      <c r="M46" s="48">
        <f t="shared" ref="M46:M48" si="36">IF(L46&gt;0.5,1,0)</f>
        <v>1</v>
      </c>
      <c r="N46" s="54">
        <f t="shared" ref="N46:N48" si="37">L46*(1-L46)</f>
        <v>0.23167515408003458</v>
      </c>
      <c r="O46" s="50">
        <f>O37</f>
        <v>0.43814676238111477</v>
      </c>
      <c r="P46" s="55">
        <f t="shared" ref="P46:P48" si="38">L46-D46</f>
        <v>0.63536929459801961</v>
      </c>
      <c r="Q46" s="56"/>
    </row>
    <row r="47" spans="1:17">
      <c r="A47" s="41">
        <f t="shared" ref="A47:D47" si="39">A38</f>
        <v>2</v>
      </c>
      <c r="B47" s="47">
        <f t="shared" si="39"/>
        <v>0.5</v>
      </c>
      <c r="C47" s="47">
        <f t="shared" si="39"/>
        <v>0.8</v>
      </c>
      <c r="D47" s="48">
        <f t="shared" si="39"/>
        <v>1</v>
      </c>
      <c r="E47" s="49">
        <f t="shared" si="31"/>
        <v>0.73096412855228765</v>
      </c>
      <c r="F47" s="49"/>
      <c r="G47" s="49">
        <f t="shared" si="32"/>
        <v>0.71102680416920516</v>
      </c>
      <c r="H47" s="49"/>
      <c r="I47" s="49">
        <f t="shared" si="33"/>
        <v>0.11873657607180213</v>
      </c>
      <c r="J47" s="49"/>
      <c r="K47" s="49">
        <f t="shared" si="34"/>
        <v>1.05304008368331</v>
      </c>
      <c r="L47" s="49">
        <f t="shared" si="35"/>
        <v>0.74135825124443422</v>
      </c>
      <c r="M47" s="48">
        <f t="shared" si="36"/>
        <v>1</v>
      </c>
      <c r="N47" s="54">
        <f t="shared" si="37"/>
        <v>0.19174619455622857</v>
      </c>
      <c r="O47" s="50">
        <f>O38</f>
        <v>0.12997187442282895</v>
      </c>
      <c r="P47" s="55">
        <f t="shared" si="38"/>
        <v>-0.25864174875556578</v>
      </c>
      <c r="Q47" s="56"/>
    </row>
    <row r="48" spans="1:17">
      <c r="A48" s="41">
        <f t="shared" ref="A48:D48" si="40">A39</f>
        <v>2</v>
      </c>
      <c r="B48" s="47">
        <f t="shared" si="40"/>
        <v>1</v>
      </c>
      <c r="C48" s="47">
        <f t="shared" si="40"/>
        <v>0.9</v>
      </c>
      <c r="D48" s="48">
        <f t="shared" si="40"/>
        <v>1</v>
      </c>
      <c r="E48" s="49">
        <f t="shared" si="31"/>
        <v>0.73096412855228765</v>
      </c>
      <c r="F48" s="49"/>
      <c r="G48" s="49">
        <f t="shared" si="32"/>
        <v>0.71102680416920516</v>
      </c>
      <c r="H48" s="49"/>
      <c r="I48" s="49">
        <f t="shared" si="33"/>
        <v>0.11873657607180213</v>
      </c>
      <c r="J48" s="49"/>
      <c r="K48" s="49">
        <f t="shared" si="34"/>
        <v>1.4896248283763744</v>
      </c>
      <c r="L48" s="49">
        <f t="shared" si="35"/>
        <v>0.81602195469591132</v>
      </c>
      <c r="M48" s="48">
        <f t="shared" si="36"/>
        <v>1</v>
      </c>
      <c r="N48" s="54">
        <f t="shared" si="37"/>
        <v>0.15013012415017538</v>
      </c>
      <c r="O48" s="50">
        <f>O39</f>
        <v>8.8298156595378749E-2</v>
      </c>
      <c r="P48" s="55">
        <f t="shared" si="38"/>
        <v>-0.18397804530408868</v>
      </c>
      <c r="Q48" s="56"/>
    </row>
    <row r="49" spans="1:17">
      <c r="B49" s="42"/>
      <c r="C49" s="42"/>
      <c r="E49" s="44"/>
      <c r="F49" s="44"/>
      <c r="G49" s="44"/>
      <c r="H49" s="44"/>
      <c r="I49" s="44"/>
      <c r="J49" s="44"/>
      <c r="M49" s="45"/>
    </row>
    <row r="50" spans="1:17">
      <c r="B50" s="42"/>
      <c r="C50" s="42"/>
      <c r="E50" s="44"/>
      <c r="F50" s="44"/>
      <c r="G50" s="44"/>
      <c r="H50" s="44"/>
      <c r="I50" s="44"/>
      <c r="J50" s="44"/>
      <c r="M50" s="45"/>
    </row>
    <row r="51" spans="1:17" ht="29">
      <c r="A51" s="40" t="s">
        <v>8</v>
      </c>
      <c r="B51" s="5" t="s">
        <v>2</v>
      </c>
      <c r="C51" s="5" t="s">
        <v>3</v>
      </c>
      <c r="D51" s="4" t="s">
        <v>1</v>
      </c>
      <c r="E51" s="6" t="s">
        <v>5</v>
      </c>
      <c r="F51" s="7" t="s">
        <v>18</v>
      </c>
      <c r="G51" s="6" t="s">
        <v>6</v>
      </c>
      <c r="H51" s="7" t="s">
        <v>19</v>
      </c>
      <c r="I51" s="6" t="s">
        <v>7</v>
      </c>
      <c r="J51" s="7" t="s">
        <v>20</v>
      </c>
      <c r="K51" s="6" t="s">
        <v>4</v>
      </c>
      <c r="L51" s="6" t="s">
        <v>0</v>
      </c>
      <c r="M51" s="10" t="s">
        <v>23</v>
      </c>
      <c r="N51" s="6" t="s">
        <v>10</v>
      </c>
      <c r="O51" s="8" t="s">
        <v>22</v>
      </c>
      <c r="P51" s="7" t="s">
        <v>21</v>
      </c>
      <c r="Q51" s="9" t="s">
        <v>11</v>
      </c>
    </row>
    <row r="52" spans="1:17">
      <c r="A52" s="41">
        <f>A45</f>
        <v>2</v>
      </c>
      <c r="B52" s="47">
        <f>B45</f>
        <v>0.2</v>
      </c>
      <c r="C52" s="47">
        <f>C45</f>
        <v>0.2</v>
      </c>
      <c r="D52" s="48">
        <f>D45</f>
        <v>0</v>
      </c>
      <c r="E52" s="49">
        <f>E45</f>
        <v>0.73096412855228765</v>
      </c>
      <c r="F52" s="57">
        <f>Q52*B52</f>
        <v>2.8809589906116352E-2</v>
      </c>
      <c r="G52" s="49">
        <f>G45</f>
        <v>0.71102680416920516</v>
      </c>
      <c r="H52" s="57">
        <f>Q52*C52</f>
        <v>2.8809589906116352E-2</v>
      </c>
      <c r="I52" s="49">
        <f>I45</f>
        <v>0.11873657607180213</v>
      </c>
      <c r="J52" s="57">
        <f>Q52</f>
        <v>0.14404794953058175</v>
      </c>
      <c r="K52" s="49">
        <f>E52*B52+G52*C52+I52</f>
        <v>0.40713476261610071</v>
      </c>
      <c r="L52" s="49">
        <f>L45</f>
        <v>0.60040065009410526</v>
      </c>
      <c r="M52" s="48">
        <f>IF(L52&gt;0.5,1,0)</f>
        <v>1</v>
      </c>
      <c r="N52" s="54">
        <f>N45</f>
        <v>0.23991970946068103</v>
      </c>
      <c r="O52" s="50">
        <f>O45</f>
        <v>0.39837522698387384</v>
      </c>
      <c r="P52" s="55">
        <f>P45</f>
        <v>0.60040065009410526</v>
      </c>
      <c r="Q52" s="58">
        <f>P52*N52</f>
        <v>0.14404794953058175</v>
      </c>
    </row>
    <row r="53" spans="1:17">
      <c r="A53" s="41">
        <f>A46</f>
        <v>2</v>
      </c>
      <c r="B53" s="47">
        <f>B46</f>
        <v>0.5</v>
      </c>
      <c r="C53" s="47">
        <f>C46</f>
        <v>0.1</v>
      </c>
      <c r="D53" s="48">
        <f>D46</f>
        <v>0</v>
      </c>
      <c r="E53" s="49">
        <f>E46</f>
        <v>0.73096412855228765</v>
      </c>
      <c r="F53" s="57">
        <f>Q53*B53</f>
        <v>7.3599639611859544E-2</v>
      </c>
      <c r="G53" s="49">
        <f>G46</f>
        <v>0.71102680416920516</v>
      </c>
      <c r="H53" s="57">
        <f>Q53*C53</f>
        <v>1.4719927922371909E-2</v>
      </c>
      <c r="I53" s="49">
        <f>I46</f>
        <v>0.11873657607180213</v>
      </c>
      <c r="J53" s="57">
        <f t="shared" ref="J53:J55" si="41">Q53</f>
        <v>0.14719927922371909</v>
      </c>
      <c r="K53" s="49">
        <f t="shared" ref="K53:K55" si="42">E53*B53+G53*C53+I53</f>
        <v>0.55532132076486651</v>
      </c>
      <c r="L53" s="49">
        <f>L46</f>
        <v>0.63536929459801961</v>
      </c>
      <c r="M53" s="48">
        <f t="shared" ref="M53:M55" si="43">IF(L53&gt;0.5,1,0)</f>
        <v>1</v>
      </c>
      <c r="N53" s="54">
        <f>N46</f>
        <v>0.23167515408003458</v>
      </c>
      <c r="O53" s="50">
        <f>O46</f>
        <v>0.43814676238111477</v>
      </c>
      <c r="P53" s="55">
        <f>P46</f>
        <v>0.63536929459801961</v>
      </c>
      <c r="Q53" s="58">
        <f>P53*N53</f>
        <v>0.14719927922371909</v>
      </c>
    </row>
    <row r="54" spans="1:17">
      <c r="A54" s="41">
        <f>A47</f>
        <v>2</v>
      </c>
      <c r="B54" s="47">
        <f>B47</f>
        <v>0.5</v>
      </c>
      <c r="C54" s="47">
        <f>C47</f>
        <v>0.8</v>
      </c>
      <c r="D54" s="48">
        <f>D47</f>
        <v>1</v>
      </c>
      <c r="E54" s="49">
        <f>E47</f>
        <v>0.73096412855228765</v>
      </c>
      <c r="F54" s="57">
        <f>Q54*B54</f>
        <v>-2.4796785538623953E-2</v>
      </c>
      <c r="G54" s="49">
        <f>G47</f>
        <v>0.71102680416920516</v>
      </c>
      <c r="H54" s="57">
        <f>Q54*C54</f>
        <v>-3.9674856861798329E-2</v>
      </c>
      <c r="I54" s="49">
        <f>I47</f>
        <v>0.11873657607180213</v>
      </c>
      <c r="J54" s="57">
        <f t="shared" si="41"/>
        <v>-4.9593571077247905E-2</v>
      </c>
      <c r="K54" s="49">
        <f t="shared" si="42"/>
        <v>1.05304008368331</v>
      </c>
      <c r="L54" s="49">
        <f>L47</f>
        <v>0.74135825124443422</v>
      </c>
      <c r="M54" s="48">
        <f t="shared" si="43"/>
        <v>1</v>
      </c>
      <c r="N54" s="54">
        <f>N47</f>
        <v>0.19174619455622857</v>
      </c>
      <c r="O54" s="50">
        <f>O47</f>
        <v>0.12997187442282895</v>
      </c>
      <c r="P54" s="55">
        <f>P47</f>
        <v>-0.25864174875556578</v>
      </c>
      <c r="Q54" s="58">
        <f>P54*N54</f>
        <v>-4.9593571077247905E-2</v>
      </c>
    </row>
    <row r="55" spans="1:17">
      <c r="A55" s="41">
        <f>A48</f>
        <v>2</v>
      </c>
      <c r="B55" s="47">
        <f>B48</f>
        <v>1</v>
      </c>
      <c r="C55" s="47">
        <f>C48</f>
        <v>0.9</v>
      </c>
      <c r="D55" s="48">
        <f>D48</f>
        <v>1</v>
      </c>
      <c r="E55" s="49">
        <f>E48</f>
        <v>0.73096412855228765</v>
      </c>
      <c r="F55" s="57">
        <f>Q55*B55</f>
        <v>-2.7620646782409424E-2</v>
      </c>
      <c r="G55" s="49">
        <f>G48</f>
        <v>0.71102680416920516</v>
      </c>
      <c r="H55" s="57">
        <f>Q55*C55</f>
        <v>-2.4858582104168483E-2</v>
      </c>
      <c r="I55" s="49">
        <f>I48</f>
        <v>0.11873657607180213</v>
      </c>
      <c r="J55" s="57">
        <f t="shared" si="41"/>
        <v>-2.7620646782409424E-2</v>
      </c>
      <c r="K55" s="49">
        <f t="shared" si="42"/>
        <v>1.4896248283763744</v>
      </c>
      <c r="L55" s="49">
        <f>L48</f>
        <v>0.81602195469591132</v>
      </c>
      <c r="M55" s="48">
        <f t="shared" si="43"/>
        <v>1</v>
      </c>
      <c r="N55" s="54">
        <f>N48</f>
        <v>0.15013012415017538</v>
      </c>
      <c r="O55" s="50">
        <f>O48</f>
        <v>8.8298156595378749E-2</v>
      </c>
      <c r="P55" s="55">
        <f>P48</f>
        <v>-0.18397804530408868</v>
      </c>
      <c r="Q55" s="58">
        <f>P55*N55</f>
        <v>-2.7620646782409424E-2</v>
      </c>
    </row>
    <row r="56" spans="1:17">
      <c r="B56" s="42"/>
      <c r="C56" s="42"/>
      <c r="E56" s="44"/>
      <c r="F56" s="44"/>
      <c r="G56" s="44"/>
      <c r="H56" s="44"/>
      <c r="I56" s="44"/>
      <c r="J56" s="44"/>
      <c r="M56" s="45"/>
    </row>
    <row r="57" spans="1:17">
      <c r="A57" s="39" t="s">
        <v>14</v>
      </c>
      <c r="B57" s="42"/>
      <c r="C57" s="42"/>
      <c r="E57" s="44"/>
      <c r="F57" s="44"/>
      <c r="G57" s="44"/>
      <c r="H57" s="44"/>
      <c r="I57" s="44"/>
      <c r="J57" s="44"/>
      <c r="M57" s="45"/>
    </row>
    <row r="58" spans="1:17">
      <c r="B58" s="42"/>
      <c r="C58" s="42"/>
      <c r="E58" s="44"/>
      <c r="F58" s="44"/>
      <c r="G58" s="44"/>
      <c r="H58" s="44"/>
      <c r="I58" s="44"/>
      <c r="J58" s="44"/>
      <c r="M58" s="45"/>
    </row>
    <row r="59" spans="1:17">
      <c r="B59" s="2"/>
      <c r="C59" s="42"/>
      <c r="E59" s="1" t="s">
        <v>5</v>
      </c>
      <c r="F59" s="44"/>
      <c r="G59" s="1" t="s">
        <v>6</v>
      </c>
      <c r="H59" s="44"/>
      <c r="I59" s="1" t="s">
        <v>7</v>
      </c>
      <c r="J59" s="44"/>
      <c r="M59" s="45"/>
    </row>
    <row r="60" spans="1:17">
      <c r="B60" s="42"/>
      <c r="C60" s="42"/>
      <c r="E60" s="44">
        <f>E52-$B$1*AVERAGE(F52:F55)</f>
        <v>0.48100514256757504</v>
      </c>
      <c r="F60" s="44"/>
      <c r="G60" s="44">
        <f>G52-$B$1*AVERAGE(H52:H55)</f>
        <v>0.81604640985659793</v>
      </c>
      <c r="H60" s="44"/>
      <c r="I60" s="44">
        <f>I52-$B$1*AVERAGE(J52:J55)</f>
        <v>-0.95142847840141564</v>
      </c>
      <c r="J60" s="44"/>
      <c r="M60" s="45"/>
    </row>
    <row r="63" spans="1:17">
      <c r="A63" s="39" t="s">
        <v>9</v>
      </c>
      <c r="B63" s="42"/>
      <c r="C63" s="42"/>
      <c r="E63" s="44"/>
      <c r="F63" s="44"/>
      <c r="G63" s="44"/>
      <c r="H63" s="44"/>
      <c r="I63" s="44"/>
      <c r="J63" s="44"/>
      <c r="M63" s="45"/>
    </row>
    <row r="64" spans="1:17">
      <c r="B64" s="42"/>
      <c r="C64" s="42"/>
      <c r="E64" s="44"/>
      <c r="F64" s="44"/>
      <c r="G64" s="44"/>
      <c r="H64" s="44"/>
      <c r="I64" s="44"/>
      <c r="J64" s="44"/>
      <c r="M64" s="45"/>
    </row>
    <row r="65" spans="1:17" s="3" customFormat="1" ht="29">
      <c r="A65" s="40" t="s">
        <v>8</v>
      </c>
      <c r="B65" s="5" t="s">
        <v>2</v>
      </c>
      <c r="C65" s="5" t="s">
        <v>3</v>
      </c>
      <c r="D65" s="4" t="s">
        <v>1</v>
      </c>
      <c r="E65" s="6" t="s">
        <v>5</v>
      </c>
      <c r="F65" s="7" t="s">
        <v>18</v>
      </c>
      <c r="G65" s="6" t="s">
        <v>6</v>
      </c>
      <c r="H65" s="7" t="s">
        <v>19</v>
      </c>
      <c r="I65" s="6" t="s">
        <v>7</v>
      </c>
      <c r="J65" s="7" t="s">
        <v>20</v>
      </c>
      <c r="K65" s="6" t="s">
        <v>4</v>
      </c>
      <c r="L65" s="6" t="s">
        <v>0</v>
      </c>
      <c r="M65" s="10" t="s">
        <v>23</v>
      </c>
      <c r="N65" s="6" t="s">
        <v>10</v>
      </c>
      <c r="O65" s="8" t="s">
        <v>22</v>
      </c>
      <c r="P65" s="7" t="s">
        <v>21</v>
      </c>
      <c r="Q65" s="9" t="s">
        <v>11</v>
      </c>
    </row>
    <row r="66" spans="1:17">
      <c r="A66" s="41">
        <f>A36+1</f>
        <v>3</v>
      </c>
      <c r="B66" s="47">
        <v>0.2</v>
      </c>
      <c r="C66" s="47">
        <v>0.2</v>
      </c>
      <c r="D66" s="48">
        <v>0</v>
      </c>
      <c r="E66" s="49">
        <f>E60</f>
        <v>0.48100514256757504</v>
      </c>
      <c r="F66" s="49"/>
      <c r="G66" s="49">
        <f>G60</f>
        <v>0.81604640985659793</v>
      </c>
      <c r="H66" s="49"/>
      <c r="I66" s="49">
        <f>I60</f>
        <v>-0.95142847840141564</v>
      </c>
      <c r="J66" s="49"/>
      <c r="K66" s="49">
        <f>E66*B66+G66*C66+I66</f>
        <v>-0.69201816791658111</v>
      </c>
      <c r="L66" s="49">
        <f>1/(1+EXP(-K66))</f>
        <v>0.33358427222406678</v>
      </c>
      <c r="M66" s="48">
        <f>IF(L66&gt;0.5,1,0)</f>
        <v>0</v>
      </c>
      <c r="N66" s="49"/>
      <c r="O66" s="50">
        <f>-(D66*LOG(L66)+(1-D66)*LOG(1-L66))</f>
        <v>0.17625476189283817</v>
      </c>
      <c r="P66" s="51"/>
      <c r="Q66" s="52"/>
    </row>
    <row r="67" spans="1:17">
      <c r="A67" s="41">
        <f>A66</f>
        <v>3</v>
      </c>
      <c r="B67" s="47">
        <v>0.5</v>
      </c>
      <c r="C67" s="47">
        <v>0.1</v>
      </c>
      <c r="D67" s="48">
        <v>0</v>
      </c>
      <c r="E67" s="49">
        <f>E66</f>
        <v>0.48100514256757504</v>
      </c>
      <c r="F67" s="49"/>
      <c r="G67" s="49">
        <f>G66</f>
        <v>0.81604640985659793</v>
      </c>
      <c r="H67" s="49"/>
      <c r="I67" s="49">
        <f>I66</f>
        <v>-0.95142847840141564</v>
      </c>
      <c r="J67" s="49"/>
      <c r="K67" s="49">
        <f t="shared" ref="K67:K69" si="44">E67*B67+G67*C67+I67</f>
        <v>-0.62932126613196826</v>
      </c>
      <c r="L67" s="49">
        <f t="shared" ref="L67:L69" si="45">1/(1+EXP(-K67))</f>
        <v>0.34766445457558165</v>
      </c>
      <c r="M67" s="48">
        <f t="shared" ref="M67:M69" si="46">IF(L67&gt;0.5,1,0)</f>
        <v>0</v>
      </c>
      <c r="N67" s="49"/>
      <c r="O67" s="50">
        <f t="shared" ref="O67:O69" si="47">-(D67*LOG(L67)+(1-D67)*LOG(1-L67))</f>
        <v>0.18552895635242853</v>
      </c>
      <c r="P67" s="51"/>
      <c r="Q67" s="52"/>
    </row>
    <row r="68" spans="1:17">
      <c r="A68" s="41">
        <f t="shared" ref="A68:A69" si="48">A67</f>
        <v>3</v>
      </c>
      <c r="B68" s="47">
        <v>0.5</v>
      </c>
      <c r="C68" s="47">
        <v>0.8</v>
      </c>
      <c r="D68" s="48">
        <v>1</v>
      </c>
      <c r="E68" s="49">
        <f t="shared" ref="E68:E69" si="49">E67</f>
        <v>0.48100514256757504</v>
      </c>
      <c r="F68" s="49"/>
      <c r="G68" s="49">
        <f t="shared" ref="G68:G69" si="50">G67</f>
        <v>0.81604640985659793</v>
      </c>
      <c r="H68" s="49"/>
      <c r="I68" s="49">
        <f t="shared" ref="I68:I69" si="51">I67</f>
        <v>-0.95142847840141564</v>
      </c>
      <c r="J68" s="49"/>
      <c r="K68" s="49">
        <f t="shared" si="44"/>
        <v>-5.8088779232349785E-2</v>
      </c>
      <c r="L68" s="49">
        <f t="shared" si="45"/>
        <v>0.48548188734222847</v>
      </c>
      <c r="M68" s="48">
        <f t="shared" si="46"/>
        <v>0</v>
      </c>
      <c r="N68" s="49"/>
      <c r="O68" s="50">
        <f t="shared" si="47"/>
        <v>0.31382696838019875</v>
      </c>
      <c r="P68" s="51"/>
      <c r="Q68" s="52"/>
    </row>
    <row r="69" spans="1:17">
      <c r="A69" s="41">
        <f t="shared" si="48"/>
        <v>3</v>
      </c>
      <c r="B69" s="47">
        <v>1</v>
      </c>
      <c r="C69" s="47">
        <v>0.9</v>
      </c>
      <c r="D69" s="48">
        <v>1</v>
      </c>
      <c r="E69" s="49">
        <f t="shared" si="49"/>
        <v>0.48100514256757504</v>
      </c>
      <c r="F69" s="49"/>
      <c r="G69" s="49">
        <f t="shared" si="50"/>
        <v>0.81604640985659793</v>
      </c>
      <c r="H69" s="49"/>
      <c r="I69" s="49">
        <f t="shared" si="51"/>
        <v>-0.95142847840141564</v>
      </c>
      <c r="J69" s="49"/>
      <c r="K69" s="49">
        <f t="shared" si="44"/>
        <v>0.26401843303709749</v>
      </c>
      <c r="L69" s="49">
        <f t="shared" si="45"/>
        <v>0.56562385381604074</v>
      </c>
      <c r="M69" s="48">
        <f t="shared" si="46"/>
        <v>1</v>
      </c>
      <c r="N69" s="49"/>
      <c r="O69" s="50">
        <f t="shared" si="47"/>
        <v>0.24747228350707171</v>
      </c>
      <c r="P69" s="51"/>
      <c r="Q69" s="52"/>
    </row>
    <row r="70" spans="1:17">
      <c r="B70" s="42"/>
      <c r="C70" s="42"/>
      <c r="E70" s="44" t="s">
        <v>16</v>
      </c>
      <c r="F70" s="44"/>
      <c r="G70" s="44"/>
      <c r="H70" s="44"/>
      <c r="I70" s="44"/>
      <c r="J70" s="44"/>
      <c r="M70" s="45"/>
    </row>
    <row r="71" spans="1:17">
      <c r="B71" s="42"/>
      <c r="C71" s="42"/>
      <c r="E71" s="44"/>
      <c r="F71" s="44"/>
      <c r="G71" s="44"/>
      <c r="H71" s="44"/>
      <c r="I71" s="44"/>
      <c r="J71" s="44"/>
      <c r="M71" s="45"/>
      <c r="O71" s="53">
        <f>AVERAGE(O75:O78)</f>
        <v>0.23077074253313429</v>
      </c>
      <c r="P71" s="43" t="s">
        <v>13</v>
      </c>
    </row>
    <row r="72" spans="1:17">
      <c r="A72" s="39" t="s">
        <v>12</v>
      </c>
      <c r="B72" s="42"/>
      <c r="C72" s="42"/>
      <c r="E72" s="44"/>
      <c r="F72" s="44"/>
      <c r="G72" s="44"/>
      <c r="H72" s="44"/>
      <c r="I72" s="44"/>
      <c r="J72" s="44"/>
      <c r="M72" s="45"/>
    </row>
    <row r="73" spans="1:17">
      <c r="B73" s="42"/>
      <c r="C73" s="42"/>
      <c r="E73" s="44"/>
      <c r="F73" s="44"/>
      <c r="G73" s="44"/>
      <c r="H73" s="44"/>
      <c r="I73" s="44"/>
      <c r="J73" s="44"/>
      <c r="M73" s="45"/>
    </row>
    <row r="74" spans="1:17" s="3" customFormat="1" ht="29">
      <c r="A74" s="40" t="s">
        <v>8</v>
      </c>
      <c r="B74" s="5" t="s">
        <v>2</v>
      </c>
      <c r="C74" s="5" t="s">
        <v>3</v>
      </c>
      <c r="D74" s="4" t="s">
        <v>1</v>
      </c>
      <c r="E74" s="6" t="s">
        <v>5</v>
      </c>
      <c r="F74" s="7" t="s">
        <v>18</v>
      </c>
      <c r="G74" s="6" t="s">
        <v>6</v>
      </c>
      <c r="H74" s="7" t="s">
        <v>19</v>
      </c>
      <c r="I74" s="6" t="s">
        <v>7</v>
      </c>
      <c r="J74" s="7" t="s">
        <v>20</v>
      </c>
      <c r="K74" s="6" t="s">
        <v>4</v>
      </c>
      <c r="L74" s="6" t="s">
        <v>0</v>
      </c>
      <c r="M74" s="10" t="s">
        <v>23</v>
      </c>
      <c r="N74" s="6" t="s">
        <v>10</v>
      </c>
      <c r="O74" s="8" t="s">
        <v>22</v>
      </c>
      <c r="P74" s="7" t="s">
        <v>21</v>
      </c>
      <c r="Q74" s="9" t="s">
        <v>11</v>
      </c>
    </row>
    <row r="75" spans="1:17">
      <c r="A75" s="41">
        <f>A66</f>
        <v>3</v>
      </c>
      <c r="B75" s="47">
        <f t="shared" ref="B75:E75" si="52">B66</f>
        <v>0.2</v>
      </c>
      <c r="C75" s="47">
        <f t="shared" si="52"/>
        <v>0.2</v>
      </c>
      <c r="D75" s="48">
        <f t="shared" si="52"/>
        <v>0</v>
      </c>
      <c r="E75" s="49">
        <f t="shared" si="52"/>
        <v>0.48100514256757504</v>
      </c>
      <c r="F75" s="49"/>
      <c r="G75" s="49">
        <f>G66</f>
        <v>0.81604640985659793</v>
      </c>
      <c r="H75" s="49"/>
      <c r="I75" s="49">
        <f>I66</f>
        <v>-0.95142847840141564</v>
      </c>
      <c r="J75" s="49"/>
      <c r="K75" s="49">
        <f>E75*B75+G75*C75+I75</f>
        <v>-0.69201816791658111</v>
      </c>
      <c r="L75" s="49">
        <f>L66</f>
        <v>0.33358427222406678</v>
      </c>
      <c r="M75" s="48">
        <f>IF(L75&gt;0.5,1,0)</f>
        <v>0</v>
      </c>
      <c r="N75" s="54">
        <f>L75*(1-L75)</f>
        <v>0.2223058055488065</v>
      </c>
      <c r="O75" s="50">
        <f>O66</f>
        <v>0.17625476189283817</v>
      </c>
      <c r="P75" s="55">
        <f>L75-D75</f>
        <v>0.33358427222406678</v>
      </c>
      <c r="Q75" s="56"/>
    </row>
    <row r="76" spans="1:17">
      <c r="A76" s="41">
        <f t="shared" ref="A76:D76" si="53">A67</f>
        <v>3</v>
      </c>
      <c r="B76" s="47">
        <f t="shared" si="53"/>
        <v>0.5</v>
      </c>
      <c r="C76" s="47">
        <f t="shared" si="53"/>
        <v>0.1</v>
      </c>
      <c r="D76" s="48">
        <f t="shared" si="53"/>
        <v>0</v>
      </c>
      <c r="E76" s="49">
        <f t="shared" ref="E76:E78" si="54">E75</f>
        <v>0.48100514256757504</v>
      </c>
      <c r="F76" s="49"/>
      <c r="G76" s="49">
        <f t="shared" ref="G76:G78" si="55">G75</f>
        <v>0.81604640985659793</v>
      </c>
      <c r="H76" s="49"/>
      <c r="I76" s="49">
        <f t="shared" ref="I76:I78" si="56">I75</f>
        <v>-0.95142847840141564</v>
      </c>
      <c r="J76" s="49"/>
      <c r="K76" s="49">
        <f t="shared" ref="K76:K78" si="57">E76*B76+G76*C76+I76</f>
        <v>-0.62932126613196826</v>
      </c>
      <c r="L76" s="49">
        <f t="shared" ref="L76:L78" si="58">L67</f>
        <v>0.34766445457558165</v>
      </c>
      <c r="M76" s="48">
        <f t="shared" ref="M76:M78" si="59">IF(L76&gt;0.5,1,0)</f>
        <v>0</v>
      </c>
      <c r="N76" s="54">
        <f t="shared" ref="N76:N78" si="60">L76*(1-L76)</f>
        <v>0.226793881600245</v>
      </c>
      <c r="O76" s="50">
        <f>O67</f>
        <v>0.18552895635242853</v>
      </c>
      <c r="P76" s="55">
        <f t="shared" ref="P76:P78" si="61">L76-D76</f>
        <v>0.34766445457558165</v>
      </c>
      <c r="Q76" s="56"/>
    </row>
    <row r="77" spans="1:17">
      <c r="A77" s="41">
        <f t="shared" ref="A77:D77" si="62">A68</f>
        <v>3</v>
      </c>
      <c r="B77" s="47">
        <f t="shared" si="62"/>
        <v>0.5</v>
      </c>
      <c r="C77" s="47">
        <f t="shared" si="62"/>
        <v>0.8</v>
      </c>
      <c r="D77" s="48">
        <f t="shared" si="62"/>
        <v>1</v>
      </c>
      <c r="E77" s="49">
        <f t="shared" si="54"/>
        <v>0.48100514256757504</v>
      </c>
      <c r="F77" s="49"/>
      <c r="G77" s="49">
        <f t="shared" si="55"/>
        <v>0.81604640985659793</v>
      </c>
      <c r="H77" s="49"/>
      <c r="I77" s="49">
        <f t="shared" si="56"/>
        <v>-0.95142847840141564</v>
      </c>
      <c r="J77" s="49"/>
      <c r="K77" s="49">
        <f t="shared" si="57"/>
        <v>-5.8088779232349785E-2</v>
      </c>
      <c r="L77" s="49">
        <f t="shared" si="58"/>
        <v>0.48548188734222847</v>
      </c>
      <c r="M77" s="48">
        <f t="shared" si="59"/>
        <v>0</v>
      </c>
      <c r="N77" s="54">
        <f t="shared" si="60"/>
        <v>0.24978922440485629</v>
      </c>
      <c r="O77" s="50">
        <f>O68</f>
        <v>0.31382696838019875</v>
      </c>
      <c r="P77" s="55">
        <f t="shared" si="61"/>
        <v>-0.51451811265777159</v>
      </c>
      <c r="Q77" s="56"/>
    </row>
    <row r="78" spans="1:17">
      <c r="A78" s="41">
        <f t="shared" ref="A78:D78" si="63">A69</f>
        <v>3</v>
      </c>
      <c r="B78" s="47">
        <f t="shared" si="63"/>
        <v>1</v>
      </c>
      <c r="C78" s="47">
        <f t="shared" si="63"/>
        <v>0.9</v>
      </c>
      <c r="D78" s="48">
        <f t="shared" si="63"/>
        <v>1</v>
      </c>
      <c r="E78" s="49">
        <f t="shared" si="54"/>
        <v>0.48100514256757504</v>
      </c>
      <c r="F78" s="49"/>
      <c r="G78" s="49">
        <f t="shared" si="55"/>
        <v>0.81604640985659793</v>
      </c>
      <c r="H78" s="49"/>
      <c r="I78" s="49">
        <f t="shared" si="56"/>
        <v>-0.95142847840141564</v>
      </c>
      <c r="J78" s="49"/>
      <c r="K78" s="49">
        <f t="shared" si="57"/>
        <v>0.26401843303709749</v>
      </c>
      <c r="L78" s="49">
        <f t="shared" si="58"/>
        <v>0.56562385381604074</v>
      </c>
      <c r="M78" s="48">
        <f t="shared" si="59"/>
        <v>1</v>
      </c>
      <c r="N78" s="54">
        <f t="shared" si="60"/>
        <v>0.24569350981033092</v>
      </c>
      <c r="O78" s="50">
        <f>O69</f>
        <v>0.24747228350707171</v>
      </c>
      <c r="P78" s="55">
        <f t="shared" si="61"/>
        <v>-0.43437614618395926</v>
      </c>
      <c r="Q78" s="56"/>
    </row>
    <row r="79" spans="1:17">
      <c r="B79" s="42"/>
      <c r="C79" s="42"/>
      <c r="E79" s="44"/>
      <c r="F79" s="44"/>
      <c r="G79" s="44"/>
      <c r="H79" s="44"/>
      <c r="I79" s="44"/>
      <c r="J79" s="44"/>
      <c r="M79" s="45"/>
    </row>
    <row r="80" spans="1:17">
      <c r="B80" s="42"/>
      <c r="C80" s="42"/>
      <c r="E80" s="44"/>
      <c r="F80" s="44"/>
      <c r="G80" s="44"/>
      <c r="H80" s="44"/>
      <c r="I80" s="44"/>
      <c r="J80" s="44"/>
      <c r="M80" s="45"/>
    </row>
    <row r="81" spans="1:17" ht="29">
      <c r="A81" s="40" t="s">
        <v>8</v>
      </c>
      <c r="B81" s="5" t="s">
        <v>2</v>
      </c>
      <c r="C81" s="5" t="s">
        <v>3</v>
      </c>
      <c r="D81" s="4" t="s">
        <v>1</v>
      </c>
      <c r="E81" s="6" t="s">
        <v>5</v>
      </c>
      <c r="F81" s="7" t="s">
        <v>18</v>
      </c>
      <c r="G81" s="6" t="s">
        <v>6</v>
      </c>
      <c r="H81" s="7" t="s">
        <v>19</v>
      </c>
      <c r="I81" s="6" t="s">
        <v>7</v>
      </c>
      <c r="J81" s="7" t="s">
        <v>20</v>
      </c>
      <c r="K81" s="6" t="s">
        <v>4</v>
      </c>
      <c r="L81" s="6" t="s">
        <v>0</v>
      </c>
      <c r="M81" s="10" t="s">
        <v>23</v>
      </c>
      <c r="N81" s="6" t="s">
        <v>10</v>
      </c>
      <c r="O81" s="8" t="s">
        <v>22</v>
      </c>
      <c r="P81" s="7" t="s">
        <v>21</v>
      </c>
      <c r="Q81" s="9" t="s">
        <v>11</v>
      </c>
    </row>
    <row r="82" spans="1:17">
      <c r="A82" s="41">
        <f>A75</f>
        <v>3</v>
      </c>
      <c r="B82" s="47">
        <f>B75</f>
        <v>0.2</v>
      </c>
      <c r="C82" s="47">
        <f>C75</f>
        <v>0.2</v>
      </c>
      <c r="D82" s="48">
        <f>D75</f>
        <v>0</v>
      </c>
      <c r="E82" s="49">
        <f>E75</f>
        <v>0.48100514256757504</v>
      </c>
      <c r="F82" s="57">
        <f>Q82*B82</f>
        <v>1.4831544071036705E-2</v>
      </c>
      <c r="G82" s="49">
        <f>G75</f>
        <v>0.81604640985659793</v>
      </c>
      <c r="H82" s="57">
        <f>Q82*C82</f>
        <v>1.4831544071036705E-2</v>
      </c>
      <c r="I82" s="49">
        <f>I75</f>
        <v>-0.95142847840141564</v>
      </c>
      <c r="J82" s="57">
        <f>Q82</f>
        <v>7.4157720355183518E-2</v>
      </c>
      <c r="K82" s="49">
        <f>E82*B82+G82*C82+I82</f>
        <v>-0.69201816791658111</v>
      </c>
      <c r="L82" s="49">
        <f>L75</f>
        <v>0.33358427222406678</v>
      </c>
      <c r="M82" s="48">
        <f>IF(L82&gt;0.5,1,0)</f>
        <v>0</v>
      </c>
      <c r="N82" s="54">
        <f>N75</f>
        <v>0.2223058055488065</v>
      </c>
      <c r="O82" s="50">
        <f>O75</f>
        <v>0.17625476189283817</v>
      </c>
      <c r="P82" s="55">
        <f>P75</f>
        <v>0.33358427222406678</v>
      </c>
      <c r="Q82" s="58">
        <f>P82*N82</f>
        <v>7.4157720355183518E-2</v>
      </c>
    </row>
    <row r="83" spans="1:17">
      <c r="A83" s="41">
        <f>A76</f>
        <v>3</v>
      </c>
      <c r="B83" s="47">
        <f>B76</f>
        <v>0.5</v>
      </c>
      <c r="C83" s="47">
        <f>C76</f>
        <v>0.1</v>
      </c>
      <c r="D83" s="48">
        <f>D76</f>
        <v>0</v>
      </c>
      <c r="E83" s="49">
        <f>E76</f>
        <v>0.48100514256757504</v>
      </c>
      <c r="F83" s="57">
        <f>Q83*B83</f>
        <v>3.9424085573814112E-2</v>
      </c>
      <c r="G83" s="49">
        <f>G76</f>
        <v>0.81604640985659793</v>
      </c>
      <c r="H83" s="57">
        <f>Q83*C83</f>
        <v>7.8848171147628231E-3</v>
      </c>
      <c r="I83" s="49">
        <f>I76</f>
        <v>-0.95142847840141564</v>
      </c>
      <c r="J83" s="57">
        <f t="shared" ref="J83:J85" si="64">Q83</f>
        <v>7.8848171147628224E-2</v>
      </c>
      <c r="K83" s="49">
        <f t="shared" ref="K83:K85" si="65">E83*B83+G83*C83+I83</f>
        <v>-0.62932126613196826</v>
      </c>
      <c r="L83" s="49">
        <f>L76</f>
        <v>0.34766445457558165</v>
      </c>
      <c r="M83" s="48">
        <f t="shared" ref="M83:M85" si="66">IF(L83&gt;0.5,1,0)</f>
        <v>0</v>
      </c>
      <c r="N83" s="54">
        <f>N76</f>
        <v>0.226793881600245</v>
      </c>
      <c r="O83" s="50">
        <f>O76</f>
        <v>0.18552895635242853</v>
      </c>
      <c r="P83" s="55">
        <f>P76</f>
        <v>0.34766445457558165</v>
      </c>
      <c r="Q83" s="58">
        <f>P83*N83</f>
        <v>7.8848171147628224E-2</v>
      </c>
    </row>
    <row r="84" spans="1:17">
      <c r="A84" s="41">
        <f>A77</f>
        <v>3</v>
      </c>
      <c r="B84" s="47">
        <f>B77</f>
        <v>0.5</v>
      </c>
      <c r="C84" s="47">
        <f>C77</f>
        <v>0.8</v>
      </c>
      <c r="D84" s="48">
        <f>D77</f>
        <v>1</v>
      </c>
      <c r="E84" s="49">
        <f>E77</f>
        <v>0.48100514256757504</v>
      </c>
      <c r="F84" s="57">
        <f>Q84*B84</f>
        <v>-6.4260540151517623E-2</v>
      </c>
      <c r="G84" s="49">
        <f>G77</f>
        <v>0.81604640985659793</v>
      </c>
      <c r="H84" s="57">
        <f>Q84*C84</f>
        <v>-0.1028168642424282</v>
      </c>
      <c r="I84" s="49">
        <f>I77</f>
        <v>-0.95142847840141564</v>
      </c>
      <c r="J84" s="57">
        <f t="shared" si="64"/>
        <v>-0.12852108030303525</v>
      </c>
      <c r="K84" s="49">
        <f t="shared" si="65"/>
        <v>-5.8088779232349785E-2</v>
      </c>
      <c r="L84" s="49">
        <f>L77</f>
        <v>0.48548188734222847</v>
      </c>
      <c r="M84" s="48">
        <f t="shared" si="66"/>
        <v>0</v>
      </c>
      <c r="N84" s="54">
        <f>N77</f>
        <v>0.24978922440485629</v>
      </c>
      <c r="O84" s="50">
        <f>O77</f>
        <v>0.31382696838019875</v>
      </c>
      <c r="P84" s="55">
        <f>P77</f>
        <v>-0.51451811265777159</v>
      </c>
      <c r="Q84" s="58">
        <f>P84*N84</f>
        <v>-0.12852108030303525</v>
      </c>
    </row>
    <row r="85" spans="1:17">
      <c r="A85" s="41">
        <f>A78</f>
        <v>3</v>
      </c>
      <c r="B85" s="47">
        <f>B78</f>
        <v>1</v>
      </c>
      <c r="C85" s="47">
        <f>C78</f>
        <v>0.9</v>
      </c>
      <c r="D85" s="48">
        <f>D78</f>
        <v>1</v>
      </c>
      <c r="E85" s="49">
        <f>E78</f>
        <v>0.48100514256757504</v>
      </c>
      <c r="F85" s="57">
        <f>Q85*B85</f>
        <v>-0.10672339993382234</v>
      </c>
      <c r="G85" s="49">
        <f>G78</f>
        <v>0.81604640985659793</v>
      </c>
      <c r="H85" s="57">
        <f>Q85*C85</f>
        <v>-9.6051059940440109E-2</v>
      </c>
      <c r="I85" s="49">
        <f>I78</f>
        <v>-0.95142847840141564</v>
      </c>
      <c r="J85" s="57">
        <f t="shared" si="64"/>
        <v>-0.10672339993382234</v>
      </c>
      <c r="K85" s="49">
        <f t="shared" si="65"/>
        <v>0.26401843303709749</v>
      </c>
      <c r="L85" s="49">
        <f>L78</f>
        <v>0.56562385381604074</v>
      </c>
      <c r="M85" s="48">
        <f t="shared" si="66"/>
        <v>1</v>
      </c>
      <c r="N85" s="54">
        <f>N78</f>
        <v>0.24569350981033092</v>
      </c>
      <c r="O85" s="50">
        <f>O78</f>
        <v>0.24747228350707171</v>
      </c>
      <c r="P85" s="55">
        <f>P78</f>
        <v>-0.43437614618395926</v>
      </c>
      <c r="Q85" s="58">
        <f>P85*N85</f>
        <v>-0.10672339993382234</v>
      </c>
    </row>
    <row r="86" spans="1:17">
      <c r="B86" s="42"/>
      <c r="C86" s="42"/>
      <c r="E86" s="44"/>
      <c r="F86" s="44"/>
      <c r="G86" s="44"/>
      <c r="H86" s="44"/>
      <c r="I86" s="44"/>
      <c r="J86" s="44"/>
      <c r="M86" s="45"/>
    </row>
    <row r="87" spans="1:17">
      <c r="A87" s="39" t="s">
        <v>14</v>
      </c>
      <c r="B87" s="42"/>
      <c r="C87" s="42"/>
      <c r="E87" s="44"/>
      <c r="F87" s="44"/>
      <c r="G87" s="44"/>
      <c r="H87" s="44"/>
      <c r="I87" s="44"/>
      <c r="J87" s="44"/>
      <c r="M87" s="45"/>
    </row>
    <row r="88" spans="1:17">
      <c r="B88" s="42"/>
      <c r="C88" s="42"/>
      <c r="E88" s="44"/>
      <c r="F88" s="44"/>
      <c r="G88" s="44"/>
      <c r="H88" s="44"/>
      <c r="I88" s="44"/>
      <c r="J88" s="44"/>
      <c r="M88" s="45"/>
    </row>
    <row r="89" spans="1:17">
      <c r="B89" s="2"/>
      <c r="C89" s="42"/>
      <c r="E89" s="1" t="s">
        <v>5</v>
      </c>
      <c r="F89" s="44"/>
      <c r="G89" s="1" t="s">
        <v>6</v>
      </c>
      <c r="H89" s="44"/>
      <c r="I89" s="1" t="s">
        <v>7</v>
      </c>
      <c r="J89" s="44"/>
      <c r="M89" s="45"/>
    </row>
    <row r="90" spans="1:17">
      <c r="B90" s="42"/>
      <c r="C90" s="42"/>
      <c r="E90" s="44">
        <f>E82-$B$1*AVERAGE(F82:F85)</f>
        <v>1.0646466947700208</v>
      </c>
      <c r="F90" s="44"/>
      <c r="G90" s="44">
        <f>G82-$B$1*AVERAGE(H82:H85)</f>
        <v>1.6968042248419417</v>
      </c>
      <c r="H90" s="44"/>
      <c r="I90" s="44">
        <f>I82-$B$1*AVERAGE(J82:J85)</f>
        <v>-0.54023553473118646</v>
      </c>
      <c r="J90" s="44"/>
      <c r="M90" s="45"/>
    </row>
    <row r="93" spans="1:17">
      <c r="A93" s="39" t="s">
        <v>9</v>
      </c>
      <c r="B93" s="42"/>
      <c r="C93" s="42"/>
      <c r="E93" s="44"/>
      <c r="F93" s="44"/>
      <c r="G93" s="44"/>
      <c r="H93" s="44"/>
      <c r="I93" s="44"/>
      <c r="J93" s="44"/>
      <c r="M93" s="45"/>
    </row>
    <row r="94" spans="1:17">
      <c r="B94" s="42"/>
      <c r="C94" s="42"/>
      <c r="E94" s="44"/>
      <c r="F94" s="44"/>
      <c r="G94" s="44"/>
      <c r="H94" s="44"/>
      <c r="I94" s="44"/>
      <c r="J94" s="44"/>
      <c r="M94" s="45"/>
    </row>
    <row r="95" spans="1:17" s="3" customFormat="1" ht="29">
      <c r="A95" s="40" t="s">
        <v>8</v>
      </c>
      <c r="B95" s="5" t="s">
        <v>2</v>
      </c>
      <c r="C95" s="5" t="s">
        <v>3</v>
      </c>
      <c r="D95" s="4" t="s">
        <v>1</v>
      </c>
      <c r="E95" s="6" t="s">
        <v>5</v>
      </c>
      <c r="F95" s="7" t="s">
        <v>18</v>
      </c>
      <c r="G95" s="6" t="s">
        <v>6</v>
      </c>
      <c r="H95" s="7" t="s">
        <v>19</v>
      </c>
      <c r="I95" s="6" t="s">
        <v>7</v>
      </c>
      <c r="J95" s="7" t="s">
        <v>20</v>
      </c>
      <c r="K95" s="6" t="s">
        <v>4</v>
      </c>
      <c r="L95" s="6" t="s">
        <v>0</v>
      </c>
      <c r="M95" s="10" t="s">
        <v>23</v>
      </c>
      <c r="N95" s="6" t="s">
        <v>10</v>
      </c>
      <c r="O95" s="8" t="s">
        <v>22</v>
      </c>
      <c r="P95" s="7" t="s">
        <v>21</v>
      </c>
      <c r="Q95" s="9" t="s">
        <v>11</v>
      </c>
    </row>
    <row r="96" spans="1:17">
      <c r="A96" s="41">
        <f>A66+1</f>
        <v>4</v>
      </c>
      <c r="B96" s="47">
        <v>0.2</v>
      </c>
      <c r="C96" s="47">
        <v>0.2</v>
      </c>
      <c r="D96" s="48">
        <v>0</v>
      </c>
      <c r="E96" s="49">
        <f>E90</f>
        <v>1.0646466947700208</v>
      </c>
      <c r="F96" s="49"/>
      <c r="G96" s="49">
        <f>G90</f>
        <v>1.6968042248419417</v>
      </c>
      <c r="H96" s="49"/>
      <c r="I96" s="49">
        <f>I90</f>
        <v>-0.54023553473118646</v>
      </c>
      <c r="J96" s="49"/>
      <c r="K96" s="49">
        <f>E96*B96+G96*C96+I96</f>
        <v>1.2054649191206135E-2</v>
      </c>
      <c r="L96" s="49">
        <f>1/(1+EXP(-K96))</f>
        <v>0.5030136258042458</v>
      </c>
      <c r="M96" s="48">
        <f>IF(L96&gt;0.5,1,0)</f>
        <v>1</v>
      </c>
      <c r="N96" s="49"/>
      <c r="O96" s="50">
        <f>-(D96*LOG(L96)+(1-D96)*LOG(1-L96))</f>
        <v>0.30365551809305796</v>
      </c>
      <c r="P96" s="51"/>
      <c r="Q96" s="52"/>
    </row>
    <row r="97" spans="1:17">
      <c r="A97" s="41">
        <f>A96</f>
        <v>4</v>
      </c>
      <c r="B97" s="47">
        <v>0.5</v>
      </c>
      <c r="C97" s="47">
        <v>0.1</v>
      </c>
      <c r="D97" s="48">
        <v>0</v>
      </c>
      <c r="E97" s="49">
        <f>E96</f>
        <v>1.0646466947700208</v>
      </c>
      <c r="F97" s="49"/>
      <c r="G97" s="49">
        <f>G96</f>
        <v>1.6968042248419417</v>
      </c>
      <c r="H97" s="49"/>
      <c r="I97" s="49">
        <f>I96</f>
        <v>-0.54023553473118646</v>
      </c>
      <c r="J97" s="49"/>
      <c r="K97" s="49">
        <f t="shared" ref="K97:K99" si="67">E97*B97+G97*C97+I97</f>
        <v>0.16176823513801808</v>
      </c>
      <c r="L97" s="49">
        <f t="shared" ref="L97:L99" si="68">1/(1+EXP(-K97))</f>
        <v>0.5403540950779343</v>
      </c>
      <c r="M97" s="48">
        <f t="shared" ref="M97:M99" si="69">IF(L97&gt;0.5,1,0)</f>
        <v>1</v>
      </c>
      <c r="N97" s="49"/>
      <c r="O97" s="50">
        <f t="shared" ref="O97:O99" si="70">-(D97*LOG(L97)+(1-D97)*LOG(1-L97))</f>
        <v>0.33757660474703904</v>
      </c>
      <c r="P97" s="51"/>
      <c r="Q97" s="52"/>
    </row>
    <row r="98" spans="1:17">
      <c r="A98" s="41">
        <f t="shared" ref="A98:A99" si="71">A97</f>
        <v>4</v>
      </c>
      <c r="B98" s="47">
        <v>0.5</v>
      </c>
      <c r="C98" s="47">
        <v>0.8</v>
      </c>
      <c r="D98" s="48">
        <v>1</v>
      </c>
      <c r="E98" s="49">
        <f t="shared" ref="E98:E99" si="72">E97</f>
        <v>1.0646466947700208</v>
      </c>
      <c r="F98" s="49"/>
      <c r="G98" s="49">
        <f t="shared" ref="G98:G99" si="73">G97</f>
        <v>1.6968042248419417</v>
      </c>
      <c r="H98" s="49"/>
      <c r="I98" s="49">
        <f t="shared" ref="I98:I99" si="74">I97</f>
        <v>-0.54023553473118646</v>
      </c>
      <c r="J98" s="49"/>
      <c r="K98" s="49">
        <f t="shared" si="67"/>
        <v>1.3495311925273774</v>
      </c>
      <c r="L98" s="49">
        <f t="shared" si="68"/>
        <v>0.7940529733460846</v>
      </c>
      <c r="M98" s="48">
        <f t="shared" si="69"/>
        <v>1</v>
      </c>
      <c r="N98" s="49"/>
      <c r="O98" s="50">
        <f t="shared" si="70"/>
        <v>0.10015052368816921</v>
      </c>
      <c r="P98" s="51"/>
      <c r="Q98" s="52"/>
    </row>
    <row r="99" spans="1:17">
      <c r="A99" s="41">
        <f t="shared" si="71"/>
        <v>4</v>
      </c>
      <c r="B99" s="47">
        <v>1</v>
      </c>
      <c r="C99" s="47">
        <v>0.9</v>
      </c>
      <c r="D99" s="48">
        <v>1</v>
      </c>
      <c r="E99" s="49">
        <f t="shared" si="72"/>
        <v>1.0646466947700208</v>
      </c>
      <c r="F99" s="49"/>
      <c r="G99" s="49">
        <f t="shared" si="73"/>
        <v>1.6968042248419417</v>
      </c>
      <c r="H99" s="49"/>
      <c r="I99" s="49">
        <f t="shared" si="74"/>
        <v>-0.54023553473118646</v>
      </c>
      <c r="J99" s="49"/>
      <c r="K99" s="49">
        <f t="shared" si="67"/>
        <v>2.0515349623965822</v>
      </c>
      <c r="L99" s="49">
        <f t="shared" si="68"/>
        <v>0.88610262627000058</v>
      </c>
      <c r="M99" s="48">
        <f t="shared" si="69"/>
        <v>1</v>
      </c>
      <c r="N99" s="49"/>
      <c r="O99" s="50">
        <f t="shared" si="70"/>
        <v>5.2515976260055761E-2</v>
      </c>
      <c r="P99" s="51"/>
      <c r="Q99" s="52"/>
    </row>
    <row r="100" spans="1:17">
      <c r="B100" s="42"/>
      <c r="C100" s="42"/>
      <c r="E100" s="44" t="s">
        <v>16</v>
      </c>
      <c r="F100" s="44"/>
      <c r="G100" s="44"/>
      <c r="H100" s="44"/>
      <c r="I100" s="44"/>
      <c r="J100" s="44"/>
      <c r="M100" s="45"/>
    </row>
    <row r="101" spans="1:17">
      <c r="B101" s="42"/>
      <c r="C101" s="42"/>
      <c r="E101" s="44"/>
      <c r="F101" s="44"/>
      <c r="G101" s="44"/>
      <c r="H101" s="44"/>
      <c r="I101" s="44"/>
      <c r="J101" s="44"/>
      <c r="M101" s="45"/>
      <c r="O101" s="53">
        <f>AVERAGE(O105:O108)</f>
        <v>0.1984746556970805</v>
      </c>
      <c r="P101" s="43" t="s">
        <v>13</v>
      </c>
    </row>
    <row r="102" spans="1:17">
      <c r="A102" s="39" t="s">
        <v>12</v>
      </c>
      <c r="B102" s="42"/>
      <c r="C102" s="42"/>
      <c r="E102" s="44"/>
      <c r="F102" s="44"/>
      <c r="G102" s="44"/>
      <c r="H102" s="44"/>
      <c r="I102" s="44"/>
      <c r="J102" s="44"/>
      <c r="M102" s="45"/>
    </row>
    <row r="103" spans="1:17">
      <c r="B103" s="42"/>
      <c r="C103" s="42"/>
      <c r="E103" s="44"/>
      <c r="F103" s="44"/>
      <c r="G103" s="44"/>
      <c r="H103" s="44"/>
      <c r="I103" s="44"/>
      <c r="J103" s="44"/>
      <c r="M103" s="45"/>
    </row>
    <row r="104" spans="1:17" s="3" customFormat="1" ht="29">
      <c r="A104" s="40" t="s">
        <v>8</v>
      </c>
      <c r="B104" s="5" t="s">
        <v>2</v>
      </c>
      <c r="C104" s="5" t="s">
        <v>3</v>
      </c>
      <c r="D104" s="4" t="s">
        <v>1</v>
      </c>
      <c r="E104" s="6" t="s">
        <v>5</v>
      </c>
      <c r="F104" s="7" t="s">
        <v>18</v>
      </c>
      <c r="G104" s="6" t="s">
        <v>6</v>
      </c>
      <c r="H104" s="7" t="s">
        <v>19</v>
      </c>
      <c r="I104" s="6" t="s">
        <v>7</v>
      </c>
      <c r="J104" s="7" t="s">
        <v>20</v>
      </c>
      <c r="K104" s="6" t="s">
        <v>4</v>
      </c>
      <c r="L104" s="6" t="s">
        <v>0</v>
      </c>
      <c r="M104" s="10" t="s">
        <v>23</v>
      </c>
      <c r="N104" s="6" t="s">
        <v>10</v>
      </c>
      <c r="O104" s="8" t="s">
        <v>22</v>
      </c>
      <c r="P104" s="7" t="s">
        <v>21</v>
      </c>
      <c r="Q104" s="9" t="s">
        <v>11</v>
      </c>
    </row>
    <row r="105" spans="1:17">
      <c r="A105" s="41">
        <f>A96</f>
        <v>4</v>
      </c>
      <c r="B105" s="47">
        <f t="shared" ref="B105:E105" si="75">B96</f>
        <v>0.2</v>
      </c>
      <c r="C105" s="47">
        <f t="shared" si="75"/>
        <v>0.2</v>
      </c>
      <c r="D105" s="48">
        <f t="shared" si="75"/>
        <v>0</v>
      </c>
      <c r="E105" s="49">
        <f t="shared" si="75"/>
        <v>1.0646466947700208</v>
      </c>
      <c r="F105" s="49"/>
      <c r="G105" s="49">
        <f>G96</f>
        <v>1.6968042248419417</v>
      </c>
      <c r="H105" s="49"/>
      <c r="I105" s="49">
        <f>I96</f>
        <v>-0.54023553473118646</v>
      </c>
      <c r="J105" s="49"/>
      <c r="K105" s="49">
        <f>E105*B105+G105*C105+I105</f>
        <v>1.2054649191206135E-2</v>
      </c>
      <c r="L105" s="49">
        <f>L96</f>
        <v>0.5030136258042458</v>
      </c>
      <c r="M105" s="48">
        <f>IF(L105&gt;0.5,1,0)</f>
        <v>1</v>
      </c>
      <c r="N105" s="54">
        <f>L105*(1-L105)</f>
        <v>0.24999091805951199</v>
      </c>
      <c r="O105" s="50">
        <f>O96</f>
        <v>0.30365551809305796</v>
      </c>
      <c r="P105" s="55">
        <f>L105-D105</f>
        <v>0.5030136258042458</v>
      </c>
      <c r="Q105" s="56"/>
    </row>
    <row r="106" spans="1:17">
      <c r="A106" s="41">
        <f t="shared" ref="A106:D106" si="76">A97</f>
        <v>4</v>
      </c>
      <c r="B106" s="47">
        <f t="shared" si="76"/>
        <v>0.5</v>
      </c>
      <c r="C106" s="47">
        <f t="shared" si="76"/>
        <v>0.1</v>
      </c>
      <c r="D106" s="48">
        <f t="shared" si="76"/>
        <v>0</v>
      </c>
      <c r="E106" s="49">
        <f t="shared" ref="E106:E108" si="77">E105</f>
        <v>1.0646466947700208</v>
      </c>
      <c r="F106" s="49"/>
      <c r="G106" s="49">
        <f t="shared" ref="G106:G108" si="78">G105</f>
        <v>1.6968042248419417</v>
      </c>
      <c r="H106" s="49"/>
      <c r="I106" s="49">
        <f t="shared" ref="I106:I108" si="79">I105</f>
        <v>-0.54023553473118646</v>
      </c>
      <c r="J106" s="49"/>
      <c r="K106" s="49">
        <f t="shared" ref="K106:K108" si="80">E106*B106+G106*C106+I106</f>
        <v>0.16176823513801808</v>
      </c>
      <c r="L106" s="49">
        <f t="shared" ref="L106:L108" si="81">L97</f>
        <v>0.5403540950779343</v>
      </c>
      <c r="M106" s="48">
        <f t="shared" ref="M106:M108" si="82">IF(L106&gt;0.5,1,0)</f>
        <v>1</v>
      </c>
      <c r="N106" s="54">
        <f t="shared" ref="N106:N108" si="83">L106*(1-L106)</f>
        <v>0.24837154701044103</v>
      </c>
      <c r="O106" s="50">
        <f>O97</f>
        <v>0.33757660474703904</v>
      </c>
      <c r="P106" s="55">
        <f t="shared" ref="P106:P108" si="84">L106-D106</f>
        <v>0.5403540950779343</v>
      </c>
      <c r="Q106" s="56"/>
    </row>
    <row r="107" spans="1:17">
      <c r="A107" s="41">
        <f t="shared" ref="A107:D107" si="85">A98</f>
        <v>4</v>
      </c>
      <c r="B107" s="47">
        <f t="shared" si="85"/>
        <v>0.5</v>
      </c>
      <c r="C107" s="47">
        <f t="shared" si="85"/>
        <v>0.8</v>
      </c>
      <c r="D107" s="48">
        <f t="shared" si="85"/>
        <v>1</v>
      </c>
      <c r="E107" s="49">
        <f t="shared" si="77"/>
        <v>1.0646466947700208</v>
      </c>
      <c r="F107" s="49"/>
      <c r="G107" s="49">
        <f t="shared" si="78"/>
        <v>1.6968042248419417</v>
      </c>
      <c r="H107" s="49"/>
      <c r="I107" s="49">
        <f t="shared" si="79"/>
        <v>-0.54023553473118646</v>
      </c>
      <c r="J107" s="49"/>
      <c r="K107" s="49">
        <f t="shared" si="80"/>
        <v>1.3495311925273774</v>
      </c>
      <c r="L107" s="49">
        <f t="shared" si="81"/>
        <v>0.7940529733460846</v>
      </c>
      <c r="M107" s="48">
        <f t="shared" si="82"/>
        <v>1</v>
      </c>
      <c r="N107" s="54">
        <f t="shared" si="83"/>
        <v>0.16353284886632685</v>
      </c>
      <c r="O107" s="50">
        <f>O98</f>
        <v>0.10015052368816921</v>
      </c>
      <c r="P107" s="55">
        <f t="shared" si="84"/>
        <v>-0.2059470266539154</v>
      </c>
      <c r="Q107" s="56"/>
    </row>
    <row r="108" spans="1:17">
      <c r="A108" s="41">
        <f t="shared" ref="A108:D108" si="86">A99</f>
        <v>4</v>
      </c>
      <c r="B108" s="47">
        <f t="shared" si="86"/>
        <v>1</v>
      </c>
      <c r="C108" s="47">
        <f t="shared" si="86"/>
        <v>0.9</v>
      </c>
      <c r="D108" s="48">
        <f t="shared" si="86"/>
        <v>1</v>
      </c>
      <c r="E108" s="49">
        <f t="shared" si="77"/>
        <v>1.0646466947700208</v>
      </c>
      <c r="F108" s="49"/>
      <c r="G108" s="49">
        <f t="shared" si="78"/>
        <v>1.6968042248419417</v>
      </c>
      <c r="H108" s="49"/>
      <c r="I108" s="49">
        <f t="shared" si="79"/>
        <v>-0.54023553473118646</v>
      </c>
      <c r="J108" s="49"/>
      <c r="K108" s="49">
        <f t="shared" si="80"/>
        <v>2.0515349623965822</v>
      </c>
      <c r="L108" s="49">
        <f t="shared" si="81"/>
        <v>0.88610262627000058</v>
      </c>
      <c r="M108" s="48">
        <f t="shared" si="82"/>
        <v>1</v>
      </c>
      <c r="N108" s="54">
        <f t="shared" si="83"/>
        <v>0.10092476198740825</v>
      </c>
      <c r="O108" s="50">
        <f>O99</f>
        <v>5.2515976260055761E-2</v>
      </c>
      <c r="P108" s="55">
        <f t="shared" si="84"/>
        <v>-0.11389737372999942</v>
      </c>
      <c r="Q108" s="56"/>
    </row>
    <row r="109" spans="1:17">
      <c r="B109" s="42"/>
      <c r="C109" s="42"/>
      <c r="E109" s="44"/>
      <c r="F109" s="44"/>
      <c r="G109" s="44"/>
      <c r="H109" s="44"/>
      <c r="I109" s="44"/>
      <c r="J109" s="44"/>
      <c r="M109" s="45"/>
    </row>
    <row r="110" spans="1:17">
      <c r="B110" s="42"/>
      <c r="C110" s="42"/>
      <c r="E110" s="44"/>
      <c r="F110" s="44"/>
      <c r="G110" s="44"/>
      <c r="H110" s="44"/>
      <c r="I110" s="44"/>
      <c r="J110" s="44"/>
      <c r="M110" s="45"/>
    </row>
    <row r="111" spans="1:17" ht="29">
      <c r="A111" s="40" t="s">
        <v>8</v>
      </c>
      <c r="B111" s="5" t="s">
        <v>2</v>
      </c>
      <c r="C111" s="5" t="s">
        <v>3</v>
      </c>
      <c r="D111" s="4" t="s">
        <v>1</v>
      </c>
      <c r="E111" s="6" t="s">
        <v>5</v>
      </c>
      <c r="F111" s="7" t="s">
        <v>18</v>
      </c>
      <c r="G111" s="6" t="s">
        <v>6</v>
      </c>
      <c r="H111" s="7" t="s">
        <v>19</v>
      </c>
      <c r="I111" s="6" t="s">
        <v>7</v>
      </c>
      <c r="J111" s="7" t="s">
        <v>20</v>
      </c>
      <c r="K111" s="6" t="s">
        <v>4</v>
      </c>
      <c r="L111" s="6" t="s">
        <v>0</v>
      </c>
      <c r="M111" s="10" t="s">
        <v>23</v>
      </c>
      <c r="N111" s="6" t="s">
        <v>10</v>
      </c>
      <c r="O111" s="8" t="s">
        <v>22</v>
      </c>
      <c r="P111" s="7" t="s">
        <v>21</v>
      </c>
      <c r="Q111" s="9" t="s">
        <v>11</v>
      </c>
    </row>
    <row r="112" spans="1:17">
      <c r="A112" s="41">
        <f>A105</f>
        <v>4</v>
      </c>
      <c r="B112" s="47">
        <f>B105</f>
        <v>0.2</v>
      </c>
      <c r="C112" s="47">
        <f>C105</f>
        <v>0.2</v>
      </c>
      <c r="D112" s="48">
        <f>D105</f>
        <v>0</v>
      </c>
      <c r="E112" s="49">
        <f>E105</f>
        <v>1.0646466947700208</v>
      </c>
      <c r="F112" s="57">
        <f>Q112*B112</f>
        <v>2.514976762224945E-2</v>
      </c>
      <c r="G112" s="49">
        <f>G105</f>
        <v>1.6968042248419417</v>
      </c>
      <c r="H112" s="57">
        <f>Q112*C112</f>
        <v>2.514976762224945E-2</v>
      </c>
      <c r="I112" s="49">
        <f>I105</f>
        <v>-0.54023553473118646</v>
      </c>
      <c r="J112" s="57">
        <f>Q112</f>
        <v>0.12574883811124724</v>
      </c>
      <c r="K112" s="49">
        <f>E112*B112+G112*C112+I112</f>
        <v>1.2054649191206135E-2</v>
      </c>
      <c r="L112" s="49">
        <f>L105</f>
        <v>0.5030136258042458</v>
      </c>
      <c r="M112" s="48">
        <f>IF(L112&gt;0.5,1,0)</f>
        <v>1</v>
      </c>
      <c r="N112" s="54">
        <f>N105</f>
        <v>0.24999091805951199</v>
      </c>
      <c r="O112" s="50">
        <f>O105</f>
        <v>0.30365551809305796</v>
      </c>
      <c r="P112" s="55">
        <f>P105</f>
        <v>0.5030136258042458</v>
      </c>
      <c r="Q112" s="58">
        <f>P112*N112</f>
        <v>0.12574883811124724</v>
      </c>
    </row>
    <row r="113" spans="1:17">
      <c r="A113" s="41">
        <f>A106</f>
        <v>4</v>
      </c>
      <c r="B113" s="47">
        <f>B106</f>
        <v>0.5</v>
      </c>
      <c r="C113" s="47">
        <f>C106</f>
        <v>0.1</v>
      </c>
      <c r="D113" s="48">
        <f>D106</f>
        <v>0</v>
      </c>
      <c r="E113" s="49">
        <f>E106</f>
        <v>1.0646466947700208</v>
      </c>
      <c r="F113" s="57">
        <f>Q113*B113</f>
        <v>6.7104291263966748E-2</v>
      </c>
      <c r="G113" s="49">
        <f>G106</f>
        <v>1.6968042248419417</v>
      </c>
      <c r="H113" s="57">
        <f>Q113*C113</f>
        <v>1.342085825279335E-2</v>
      </c>
      <c r="I113" s="49">
        <f>I106</f>
        <v>-0.54023553473118646</v>
      </c>
      <c r="J113" s="57">
        <f t="shared" ref="J113:J115" si="87">Q113</f>
        <v>0.1342085825279335</v>
      </c>
      <c r="K113" s="49">
        <f t="shared" ref="K113:K115" si="88">E113*B113+G113*C113+I113</f>
        <v>0.16176823513801808</v>
      </c>
      <c r="L113" s="49">
        <f>L106</f>
        <v>0.5403540950779343</v>
      </c>
      <c r="M113" s="48">
        <f t="shared" ref="M113:M115" si="89">IF(L113&gt;0.5,1,0)</f>
        <v>1</v>
      </c>
      <c r="N113" s="54">
        <f>N106</f>
        <v>0.24837154701044103</v>
      </c>
      <c r="O113" s="50">
        <f>O106</f>
        <v>0.33757660474703904</v>
      </c>
      <c r="P113" s="55">
        <f>P106</f>
        <v>0.5403540950779343</v>
      </c>
      <c r="Q113" s="58">
        <f>P113*N113</f>
        <v>0.1342085825279335</v>
      </c>
    </row>
    <row r="114" spans="1:17">
      <c r="A114" s="41">
        <f>A107</f>
        <v>4</v>
      </c>
      <c r="B114" s="47">
        <f>B107</f>
        <v>0.5</v>
      </c>
      <c r="C114" s="47">
        <f>C107</f>
        <v>0.8</v>
      </c>
      <c r="D114" s="48">
        <f>D107</f>
        <v>1</v>
      </c>
      <c r="E114" s="49">
        <f>E107</f>
        <v>1.0646466947700208</v>
      </c>
      <c r="F114" s="57">
        <f>Q114*B114</f>
        <v>-1.6839551992132069E-2</v>
      </c>
      <c r="G114" s="49">
        <f>G107</f>
        <v>1.6968042248419417</v>
      </c>
      <c r="H114" s="57">
        <f>Q114*C114</f>
        <v>-2.6943283187411311E-2</v>
      </c>
      <c r="I114" s="49">
        <f>I107</f>
        <v>-0.54023553473118646</v>
      </c>
      <c r="J114" s="57">
        <f t="shared" si="87"/>
        <v>-3.3679103984264137E-2</v>
      </c>
      <c r="K114" s="49">
        <f t="shared" si="88"/>
        <v>1.3495311925273774</v>
      </c>
      <c r="L114" s="49">
        <f>L107</f>
        <v>0.7940529733460846</v>
      </c>
      <c r="M114" s="48">
        <f t="shared" si="89"/>
        <v>1</v>
      </c>
      <c r="N114" s="54">
        <f>N107</f>
        <v>0.16353284886632685</v>
      </c>
      <c r="O114" s="50">
        <f>O107</f>
        <v>0.10015052368816921</v>
      </c>
      <c r="P114" s="55">
        <f>P107</f>
        <v>-0.2059470266539154</v>
      </c>
      <c r="Q114" s="58">
        <f>P114*N114</f>
        <v>-3.3679103984264137E-2</v>
      </c>
    </row>
    <row r="115" spans="1:17">
      <c r="A115" s="41">
        <f>A108</f>
        <v>4</v>
      </c>
      <c r="B115" s="47">
        <f>B108</f>
        <v>1</v>
      </c>
      <c r="C115" s="47">
        <f>C108</f>
        <v>0.9</v>
      </c>
      <c r="D115" s="48">
        <f>D108</f>
        <v>1</v>
      </c>
      <c r="E115" s="49">
        <f>E108</f>
        <v>1.0646466947700208</v>
      </c>
      <c r="F115" s="57">
        <f>Q115*B115</f>
        <v>-1.1495065334691077E-2</v>
      </c>
      <c r="G115" s="49">
        <f>G108</f>
        <v>1.6968042248419417</v>
      </c>
      <c r="H115" s="57">
        <f>Q115*C115</f>
        <v>-1.034555880122197E-2</v>
      </c>
      <c r="I115" s="49">
        <f>I108</f>
        <v>-0.54023553473118646</v>
      </c>
      <c r="J115" s="57">
        <f t="shared" si="87"/>
        <v>-1.1495065334691077E-2</v>
      </c>
      <c r="K115" s="49">
        <f t="shared" si="88"/>
        <v>2.0515349623965822</v>
      </c>
      <c r="L115" s="49">
        <f>L108</f>
        <v>0.88610262627000058</v>
      </c>
      <c r="M115" s="48">
        <f t="shared" si="89"/>
        <v>1</v>
      </c>
      <c r="N115" s="54">
        <f>N108</f>
        <v>0.10092476198740825</v>
      </c>
      <c r="O115" s="50">
        <f>O108</f>
        <v>5.2515976260055761E-2</v>
      </c>
      <c r="P115" s="55">
        <f>P108</f>
        <v>-0.11389737372999942</v>
      </c>
      <c r="Q115" s="58">
        <f>P115*N115</f>
        <v>-1.1495065334691077E-2</v>
      </c>
    </row>
    <row r="116" spans="1:17">
      <c r="B116" s="42"/>
      <c r="C116" s="42"/>
      <c r="E116" s="44"/>
      <c r="F116" s="44"/>
      <c r="G116" s="44"/>
      <c r="H116" s="44"/>
      <c r="I116" s="44"/>
      <c r="J116" s="44"/>
      <c r="M116" s="45"/>
    </row>
    <row r="117" spans="1:17">
      <c r="A117" s="39" t="s">
        <v>14</v>
      </c>
      <c r="B117" s="42"/>
      <c r="C117" s="42"/>
      <c r="E117" s="44"/>
      <c r="F117" s="44"/>
      <c r="G117" s="44"/>
      <c r="H117" s="44"/>
      <c r="I117" s="44"/>
      <c r="J117" s="44"/>
      <c r="M117" s="45"/>
    </row>
    <row r="118" spans="1:17">
      <c r="B118" s="42"/>
      <c r="C118" s="42"/>
      <c r="E118" s="44"/>
      <c r="F118" s="44"/>
      <c r="G118" s="44"/>
      <c r="H118" s="44"/>
      <c r="I118" s="44"/>
      <c r="J118" s="44"/>
      <c r="M118" s="45"/>
    </row>
    <row r="119" spans="1:17">
      <c r="B119" s="2"/>
      <c r="C119" s="42"/>
      <c r="E119" s="1" t="s">
        <v>5</v>
      </c>
      <c r="F119" s="44"/>
      <c r="G119" s="1" t="s">
        <v>6</v>
      </c>
      <c r="H119" s="44"/>
      <c r="I119" s="1" t="s">
        <v>7</v>
      </c>
      <c r="J119" s="44"/>
      <c r="M119" s="45"/>
    </row>
    <row r="120" spans="1:17">
      <c r="B120" s="42"/>
      <c r="C120" s="42"/>
      <c r="E120" s="44">
        <f>E112-$B$1*AVERAGE(F112:F115)</f>
        <v>0.74504948697305551</v>
      </c>
      <c r="F120" s="44"/>
      <c r="G120" s="44">
        <f>G112-$B$1*AVERAGE(H112:H115)</f>
        <v>1.6903953054098941</v>
      </c>
      <c r="H120" s="44"/>
      <c r="I120" s="44">
        <f>I112-$B$1*AVERAGE(J112:J115)</f>
        <v>-1.614151791332314</v>
      </c>
      <c r="J120" s="44"/>
      <c r="M120" s="45"/>
    </row>
    <row r="123" spans="1:17">
      <c r="A123" s="39" t="s">
        <v>9</v>
      </c>
      <c r="B123" s="42"/>
      <c r="C123" s="42"/>
      <c r="E123" s="44"/>
      <c r="F123" s="44"/>
      <c r="G123" s="44"/>
      <c r="H123" s="44"/>
      <c r="I123" s="44"/>
      <c r="J123" s="44"/>
      <c r="M123" s="45"/>
    </row>
    <row r="124" spans="1:17">
      <c r="B124" s="42"/>
      <c r="C124" s="42"/>
      <c r="E124" s="44"/>
      <c r="F124" s="44"/>
      <c r="G124" s="44"/>
      <c r="H124" s="44"/>
      <c r="I124" s="44"/>
      <c r="J124" s="44"/>
      <c r="M124" s="45"/>
    </row>
    <row r="125" spans="1:17" s="3" customFormat="1" ht="29">
      <c r="A125" s="40" t="s">
        <v>8</v>
      </c>
      <c r="B125" s="5" t="s">
        <v>2</v>
      </c>
      <c r="C125" s="5" t="s">
        <v>3</v>
      </c>
      <c r="D125" s="4" t="s">
        <v>1</v>
      </c>
      <c r="E125" s="6" t="s">
        <v>5</v>
      </c>
      <c r="F125" s="7" t="s">
        <v>18</v>
      </c>
      <c r="G125" s="6" t="s">
        <v>6</v>
      </c>
      <c r="H125" s="7" t="s">
        <v>19</v>
      </c>
      <c r="I125" s="6" t="s">
        <v>7</v>
      </c>
      <c r="J125" s="7" t="s">
        <v>20</v>
      </c>
      <c r="K125" s="6" t="s">
        <v>4</v>
      </c>
      <c r="L125" s="6" t="s">
        <v>0</v>
      </c>
      <c r="M125" s="10" t="s">
        <v>23</v>
      </c>
      <c r="N125" s="6" t="s">
        <v>10</v>
      </c>
      <c r="O125" s="8" t="s">
        <v>22</v>
      </c>
      <c r="P125" s="7" t="s">
        <v>21</v>
      </c>
      <c r="Q125" s="9" t="s">
        <v>11</v>
      </c>
    </row>
    <row r="126" spans="1:17">
      <c r="A126" s="41">
        <f>A96+1</f>
        <v>5</v>
      </c>
      <c r="B126" s="47">
        <v>0.2</v>
      </c>
      <c r="C126" s="47">
        <v>0.2</v>
      </c>
      <c r="D126" s="48">
        <v>0</v>
      </c>
      <c r="E126" s="49">
        <f>E120</f>
        <v>0.74504948697305551</v>
      </c>
      <c r="F126" s="49"/>
      <c r="G126" s="49">
        <f>G120</f>
        <v>1.6903953054098941</v>
      </c>
      <c r="H126" s="49"/>
      <c r="I126" s="49">
        <f>I120</f>
        <v>-1.614151791332314</v>
      </c>
      <c r="J126" s="49"/>
      <c r="K126" s="49">
        <f>E126*B126+G126*C126+I126</f>
        <v>-1.127062832855724</v>
      </c>
      <c r="L126" s="49">
        <f>1/(1+EXP(-K126))</f>
        <v>0.24470355192767532</v>
      </c>
      <c r="M126" s="48">
        <f>IF(L126&gt;0.5,1,0)</f>
        <v>0</v>
      </c>
      <c r="N126" s="49"/>
      <c r="O126" s="50">
        <f>-(D126*LOG(L126)+(1-D126)*LOG(1-L126))</f>
        <v>0.12188255765185495</v>
      </c>
      <c r="P126" s="51"/>
      <c r="Q126" s="52"/>
    </row>
    <row r="127" spans="1:17">
      <c r="A127" s="41">
        <f>A126</f>
        <v>5</v>
      </c>
      <c r="B127" s="47">
        <v>0.5</v>
      </c>
      <c r="C127" s="47">
        <v>0.1</v>
      </c>
      <c r="D127" s="48">
        <v>0</v>
      </c>
      <c r="E127" s="49">
        <f>E126</f>
        <v>0.74504948697305551</v>
      </c>
      <c r="F127" s="49"/>
      <c r="G127" s="49">
        <f>G126</f>
        <v>1.6903953054098941</v>
      </c>
      <c r="H127" s="49"/>
      <c r="I127" s="49">
        <f>I126</f>
        <v>-1.614151791332314</v>
      </c>
      <c r="J127" s="49"/>
      <c r="K127" s="49">
        <f t="shared" ref="K127:K129" si="90">E127*B127+G127*C127+I127</f>
        <v>-1.0725875173047967</v>
      </c>
      <c r="L127" s="49">
        <f t="shared" ref="L127:L129" si="91">1/(1+EXP(-K127))</f>
        <v>0.25491132143958661</v>
      </c>
      <c r="M127" s="48">
        <f t="shared" ref="M127:M129" si="92">IF(L127&gt;0.5,1,0)</f>
        <v>0</v>
      </c>
      <c r="N127" s="49"/>
      <c r="O127" s="50">
        <f t="shared" ref="O127:O129" si="93">-(D127*LOG(L127)+(1-D127)*LOG(1-L127))</f>
        <v>0.12779203555033361</v>
      </c>
      <c r="P127" s="51"/>
      <c r="Q127" s="52"/>
    </row>
    <row r="128" spans="1:17">
      <c r="A128" s="41">
        <f t="shared" ref="A128:A129" si="94">A127</f>
        <v>5</v>
      </c>
      <c r="B128" s="47">
        <v>0.5</v>
      </c>
      <c r="C128" s="47">
        <v>0.8</v>
      </c>
      <c r="D128" s="48">
        <v>1</v>
      </c>
      <c r="E128" s="49">
        <f t="shared" ref="E128:E129" si="95">E127</f>
        <v>0.74504948697305551</v>
      </c>
      <c r="F128" s="49"/>
      <c r="G128" s="49">
        <f t="shared" ref="G128:G129" si="96">G127</f>
        <v>1.6903953054098941</v>
      </c>
      <c r="H128" s="49"/>
      <c r="I128" s="49">
        <f t="shared" ref="I128:I129" si="97">I127</f>
        <v>-1.614151791332314</v>
      </c>
      <c r="J128" s="49"/>
      <c r="K128" s="49">
        <f t="shared" si="90"/>
        <v>0.11068919648212905</v>
      </c>
      <c r="L128" s="49">
        <f t="shared" si="91"/>
        <v>0.52764408005041497</v>
      </c>
      <c r="M128" s="48">
        <f t="shared" si="92"/>
        <v>1</v>
      </c>
      <c r="N128" s="49"/>
      <c r="O128" s="50">
        <f t="shared" si="93"/>
        <v>0.27765893010256837</v>
      </c>
      <c r="P128" s="51"/>
      <c r="Q128" s="52"/>
    </row>
    <row r="129" spans="1:17">
      <c r="A129" s="41">
        <f t="shared" si="94"/>
        <v>5</v>
      </c>
      <c r="B129" s="47">
        <v>1</v>
      </c>
      <c r="C129" s="47">
        <v>0.9</v>
      </c>
      <c r="D129" s="48">
        <v>1</v>
      </c>
      <c r="E129" s="49">
        <f t="shared" si="95"/>
        <v>0.74504948697305551</v>
      </c>
      <c r="F129" s="49"/>
      <c r="G129" s="49">
        <f t="shared" si="96"/>
        <v>1.6903953054098941</v>
      </c>
      <c r="H129" s="49"/>
      <c r="I129" s="49">
        <f t="shared" si="97"/>
        <v>-1.614151791332314</v>
      </c>
      <c r="J129" s="49"/>
      <c r="K129" s="49">
        <f t="shared" si="90"/>
        <v>0.65225347050964633</v>
      </c>
      <c r="L129" s="49">
        <f t="shared" si="91"/>
        <v>0.65751809727748411</v>
      </c>
      <c r="M129" s="48">
        <f t="shared" si="92"/>
        <v>1</v>
      </c>
      <c r="N129" s="49"/>
      <c r="O129" s="50">
        <f t="shared" si="93"/>
        <v>0.18209228931792129</v>
      </c>
      <c r="P129" s="51"/>
      <c r="Q129" s="52"/>
    </row>
    <row r="130" spans="1:17">
      <c r="B130" s="42"/>
      <c r="C130" s="42"/>
      <c r="E130" s="44" t="s">
        <v>16</v>
      </c>
      <c r="F130" s="44"/>
      <c r="G130" s="44"/>
      <c r="H130" s="44"/>
      <c r="I130" s="44"/>
      <c r="J130" s="44"/>
      <c r="M130" s="45"/>
    </row>
    <row r="131" spans="1:17">
      <c r="B131" s="42"/>
      <c r="C131" s="42"/>
      <c r="E131" s="44"/>
      <c r="F131" s="44"/>
      <c r="G131" s="44"/>
      <c r="H131" s="44"/>
      <c r="I131" s="44"/>
      <c r="J131" s="44"/>
      <c r="M131" s="45"/>
      <c r="O131" s="53">
        <f>AVERAGE(O135:O138)</f>
        <v>0.17735645315566956</v>
      </c>
      <c r="P131" s="43" t="s">
        <v>13</v>
      </c>
    </row>
    <row r="132" spans="1:17">
      <c r="A132" s="39" t="s">
        <v>12</v>
      </c>
      <c r="B132" s="42"/>
      <c r="C132" s="42"/>
      <c r="E132" s="44"/>
      <c r="F132" s="44"/>
      <c r="G132" s="44"/>
      <c r="H132" s="44"/>
      <c r="I132" s="44"/>
      <c r="J132" s="44"/>
      <c r="M132" s="45"/>
    </row>
    <row r="133" spans="1:17">
      <c r="B133" s="42"/>
      <c r="C133" s="42"/>
      <c r="E133" s="44"/>
      <c r="F133" s="44"/>
      <c r="G133" s="44"/>
      <c r="H133" s="44"/>
      <c r="I133" s="44"/>
      <c r="J133" s="44"/>
      <c r="M133" s="45"/>
    </row>
    <row r="134" spans="1:17" s="3" customFormat="1" ht="29">
      <c r="A134" s="40" t="s">
        <v>8</v>
      </c>
      <c r="B134" s="5" t="s">
        <v>2</v>
      </c>
      <c r="C134" s="5" t="s">
        <v>3</v>
      </c>
      <c r="D134" s="4" t="s">
        <v>1</v>
      </c>
      <c r="E134" s="6" t="s">
        <v>5</v>
      </c>
      <c r="F134" s="7" t="s">
        <v>18</v>
      </c>
      <c r="G134" s="6" t="s">
        <v>6</v>
      </c>
      <c r="H134" s="7" t="s">
        <v>19</v>
      </c>
      <c r="I134" s="6" t="s">
        <v>7</v>
      </c>
      <c r="J134" s="7" t="s">
        <v>20</v>
      </c>
      <c r="K134" s="6" t="s">
        <v>4</v>
      </c>
      <c r="L134" s="6" t="s">
        <v>0</v>
      </c>
      <c r="M134" s="10" t="s">
        <v>23</v>
      </c>
      <c r="N134" s="6" t="s">
        <v>10</v>
      </c>
      <c r="O134" s="8" t="s">
        <v>22</v>
      </c>
      <c r="P134" s="7" t="s">
        <v>21</v>
      </c>
      <c r="Q134" s="9" t="s">
        <v>11</v>
      </c>
    </row>
    <row r="135" spans="1:17">
      <c r="A135" s="41">
        <f>A126</f>
        <v>5</v>
      </c>
      <c r="B135" s="47">
        <f t="shared" ref="B135:E135" si="98">B126</f>
        <v>0.2</v>
      </c>
      <c r="C135" s="47">
        <f t="shared" si="98"/>
        <v>0.2</v>
      </c>
      <c r="D135" s="48">
        <f t="shared" si="98"/>
        <v>0</v>
      </c>
      <c r="E135" s="49">
        <f t="shared" si="98"/>
        <v>0.74504948697305551</v>
      </c>
      <c r="F135" s="49"/>
      <c r="G135" s="49">
        <f>G126</f>
        <v>1.6903953054098941</v>
      </c>
      <c r="H135" s="49"/>
      <c r="I135" s="49">
        <f>I126</f>
        <v>-1.614151791332314</v>
      </c>
      <c r="J135" s="49"/>
      <c r="K135" s="49">
        <f>E135*B135+G135*C135+I135</f>
        <v>-1.127062832855724</v>
      </c>
      <c r="L135" s="49">
        <f>L126</f>
        <v>0.24470355192767532</v>
      </c>
      <c r="M135" s="48">
        <f>IF(L135&gt;0.5,1,0)</f>
        <v>0</v>
      </c>
      <c r="N135" s="54">
        <f>L135*(1-L135)</f>
        <v>0.18482372360165483</v>
      </c>
      <c r="O135" s="50">
        <f>O126</f>
        <v>0.12188255765185495</v>
      </c>
      <c r="P135" s="55">
        <f>L135-D135</f>
        <v>0.24470355192767532</v>
      </c>
      <c r="Q135" s="56"/>
    </row>
    <row r="136" spans="1:17">
      <c r="A136" s="41">
        <f t="shared" ref="A136:D136" si="99">A127</f>
        <v>5</v>
      </c>
      <c r="B136" s="47">
        <f t="shared" si="99"/>
        <v>0.5</v>
      </c>
      <c r="C136" s="47">
        <f t="shared" si="99"/>
        <v>0.1</v>
      </c>
      <c r="D136" s="48">
        <f t="shared" si="99"/>
        <v>0</v>
      </c>
      <c r="E136" s="49">
        <f t="shared" ref="E136:E138" si="100">E135</f>
        <v>0.74504948697305551</v>
      </c>
      <c r="F136" s="49"/>
      <c r="G136" s="49">
        <f t="shared" ref="G136:G138" si="101">G135</f>
        <v>1.6903953054098941</v>
      </c>
      <c r="H136" s="49"/>
      <c r="I136" s="49">
        <f t="shared" ref="I136:I138" si="102">I135</f>
        <v>-1.614151791332314</v>
      </c>
      <c r="J136" s="49"/>
      <c r="K136" s="49">
        <f t="shared" ref="K136:K138" si="103">E136*B136+G136*C136+I136</f>
        <v>-1.0725875173047967</v>
      </c>
      <c r="L136" s="49">
        <f t="shared" ref="L136:L138" si="104">L127</f>
        <v>0.25491132143958661</v>
      </c>
      <c r="M136" s="48">
        <f t="shared" ref="M136:M138" si="105">IF(L136&gt;0.5,1,0)</f>
        <v>0</v>
      </c>
      <c r="N136" s="54">
        <f t="shared" ref="N136:N138" si="106">L136*(1-L136)</f>
        <v>0.18993153964151036</v>
      </c>
      <c r="O136" s="50">
        <f>O127</f>
        <v>0.12779203555033361</v>
      </c>
      <c r="P136" s="55">
        <f t="shared" ref="P136:P138" si="107">L136-D136</f>
        <v>0.25491132143958661</v>
      </c>
      <c r="Q136" s="56"/>
    </row>
    <row r="137" spans="1:17">
      <c r="A137" s="41">
        <f t="shared" ref="A137:D137" si="108">A128</f>
        <v>5</v>
      </c>
      <c r="B137" s="47">
        <f t="shared" si="108"/>
        <v>0.5</v>
      </c>
      <c r="C137" s="47">
        <f t="shared" si="108"/>
        <v>0.8</v>
      </c>
      <c r="D137" s="48">
        <f t="shared" si="108"/>
        <v>1</v>
      </c>
      <c r="E137" s="49">
        <f t="shared" si="100"/>
        <v>0.74504948697305551</v>
      </c>
      <c r="F137" s="49"/>
      <c r="G137" s="49">
        <f t="shared" si="101"/>
        <v>1.6903953054098941</v>
      </c>
      <c r="H137" s="49"/>
      <c r="I137" s="49">
        <f t="shared" si="102"/>
        <v>-1.614151791332314</v>
      </c>
      <c r="J137" s="49"/>
      <c r="K137" s="49">
        <f t="shared" si="103"/>
        <v>0.11068919648212905</v>
      </c>
      <c r="L137" s="49">
        <f t="shared" si="104"/>
        <v>0.52764408005041497</v>
      </c>
      <c r="M137" s="48">
        <f t="shared" si="105"/>
        <v>1</v>
      </c>
      <c r="N137" s="54">
        <f t="shared" si="106"/>
        <v>0.24923580483816624</v>
      </c>
      <c r="O137" s="50">
        <f>O128</f>
        <v>0.27765893010256837</v>
      </c>
      <c r="P137" s="55">
        <f t="shared" si="107"/>
        <v>-0.47235591994958503</v>
      </c>
      <c r="Q137" s="56"/>
    </row>
    <row r="138" spans="1:17">
      <c r="A138" s="41">
        <f t="shared" ref="A138:D138" si="109">A129</f>
        <v>5</v>
      </c>
      <c r="B138" s="47">
        <f t="shared" si="109"/>
        <v>1</v>
      </c>
      <c r="C138" s="47">
        <f t="shared" si="109"/>
        <v>0.9</v>
      </c>
      <c r="D138" s="48">
        <f t="shared" si="109"/>
        <v>1</v>
      </c>
      <c r="E138" s="49">
        <f t="shared" si="100"/>
        <v>0.74504948697305551</v>
      </c>
      <c r="F138" s="49"/>
      <c r="G138" s="49">
        <f t="shared" si="101"/>
        <v>1.6903953054098941</v>
      </c>
      <c r="H138" s="49"/>
      <c r="I138" s="49">
        <f t="shared" si="102"/>
        <v>-1.614151791332314</v>
      </c>
      <c r="J138" s="49"/>
      <c r="K138" s="49">
        <f t="shared" si="103"/>
        <v>0.65225347050964633</v>
      </c>
      <c r="L138" s="49">
        <f t="shared" si="104"/>
        <v>0.65751809727748411</v>
      </c>
      <c r="M138" s="48">
        <f t="shared" si="105"/>
        <v>1</v>
      </c>
      <c r="N138" s="54">
        <f t="shared" si="106"/>
        <v>0.22518804903008105</v>
      </c>
      <c r="O138" s="50">
        <f>O129</f>
        <v>0.18209228931792129</v>
      </c>
      <c r="P138" s="55">
        <f t="shared" si="107"/>
        <v>-0.34248190272251589</v>
      </c>
      <c r="Q138" s="56"/>
    </row>
    <row r="139" spans="1:17">
      <c r="B139" s="42"/>
      <c r="C139" s="42"/>
      <c r="E139" s="44"/>
      <c r="F139" s="44"/>
      <c r="G139" s="44"/>
      <c r="H139" s="44"/>
      <c r="I139" s="44"/>
      <c r="J139" s="44"/>
      <c r="M139" s="45"/>
    </row>
    <row r="140" spans="1:17">
      <c r="B140" s="42"/>
      <c r="C140" s="42"/>
      <c r="E140" s="44"/>
      <c r="F140" s="44"/>
      <c r="G140" s="44"/>
      <c r="H140" s="44"/>
      <c r="I140" s="44"/>
      <c r="J140" s="44"/>
      <c r="M140" s="45"/>
    </row>
    <row r="141" spans="1:17" ht="29">
      <c r="A141" s="40" t="s">
        <v>8</v>
      </c>
      <c r="B141" s="5" t="s">
        <v>2</v>
      </c>
      <c r="C141" s="5" t="s">
        <v>3</v>
      </c>
      <c r="D141" s="4" t="s">
        <v>1</v>
      </c>
      <c r="E141" s="6" t="s">
        <v>5</v>
      </c>
      <c r="F141" s="7" t="s">
        <v>18</v>
      </c>
      <c r="G141" s="6" t="s">
        <v>6</v>
      </c>
      <c r="H141" s="7" t="s">
        <v>19</v>
      </c>
      <c r="I141" s="6" t="s">
        <v>7</v>
      </c>
      <c r="J141" s="7" t="s">
        <v>20</v>
      </c>
      <c r="K141" s="6" t="s">
        <v>4</v>
      </c>
      <c r="L141" s="6" t="s">
        <v>0</v>
      </c>
      <c r="M141" s="10" t="s">
        <v>23</v>
      </c>
      <c r="N141" s="6" t="s">
        <v>10</v>
      </c>
      <c r="O141" s="8" t="s">
        <v>22</v>
      </c>
      <c r="P141" s="7" t="s">
        <v>21</v>
      </c>
      <c r="Q141" s="9" t="s">
        <v>11</v>
      </c>
    </row>
    <row r="142" spans="1:17">
      <c r="A142" s="41">
        <f>A135</f>
        <v>5</v>
      </c>
      <c r="B142" s="47">
        <f>B135</f>
        <v>0.2</v>
      </c>
      <c r="C142" s="47">
        <f>C135</f>
        <v>0.2</v>
      </c>
      <c r="D142" s="48">
        <f>D135</f>
        <v>0</v>
      </c>
      <c r="E142" s="49">
        <f>E135</f>
        <v>0.74504948697305551</v>
      </c>
      <c r="F142" s="57">
        <f>Q142*B142</f>
        <v>9.04540432916477E-3</v>
      </c>
      <c r="G142" s="49">
        <f>G135</f>
        <v>1.6903953054098941</v>
      </c>
      <c r="H142" s="57">
        <f>Q142*C142</f>
        <v>9.04540432916477E-3</v>
      </c>
      <c r="I142" s="49">
        <f>I135</f>
        <v>-1.614151791332314</v>
      </c>
      <c r="J142" s="57">
        <f>Q142</f>
        <v>4.5227021645823852E-2</v>
      </c>
      <c r="K142" s="49">
        <f>E142*B142+G142*C142+I142</f>
        <v>-1.127062832855724</v>
      </c>
      <c r="L142" s="49">
        <f>L135</f>
        <v>0.24470355192767532</v>
      </c>
      <c r="M142" s="48">
        <f>IF(L142&gt;0.5,1,0)</f>
        <v>0</v>
      </c>
      <c r="N142" s="54">
        <f>N135</f>
        <v>0.18482372360165483</v>
      </c>
      <c r="O142" s="50">
        <f>O135</f>
        <v>0.12188255765185495</v>
      </c>
      <c r="P142" s="55">
        <f>P135</f>
        <v>0.24470355192767532</v>
      </c>
      <c r="Q142" s="58">
        <f>P142*N142</f>
        <v>4.5227021645823852E-2</v>
      </c>
    </row>
    <row r="143" spans="1:17">
      <c r="A143" s="41">
        <f>A136</f>
        <v>5</v>
      </c>
      <c r="B143" s="47">
        <f>B136</f>
        <v>0.5</v>
      </c>
      <c r="C143" s="47">
        <f>C136</f>
        <v>0.1</v>
      </c>
      <c r="D143" s="48">
        <f>D136</f>
        <v>0</v>
      </c>
      <c r="E143" s="49">
        <f>E136</f>
        <v>0.74504948697305551</v>
      </c>
      <c r="F143" s="57">
        <f>Q143*B143</f>
        <v>2.4207849876536316E-2</v>
      </c>
      <c r="G143" s="49">
        <f>G136</f>
        <v>1.6903953054098941</v>
      </c>
      <c r="H143" s="57">
        <f>Q143*C143</f>
        <v>4.8415699753072633E-3</v>
      </c>
      <c r="I143" s="49">
        <f>I136</f>
        <v>-1.614151791332314</v>
      </c>
      <c r="J143" s="57">
        <f t="shared" ref="J143:J145" si="110">Q143</f>
        <v>4.8415699753072632E-2</v>
      </c>
      <c r="K143" s="49">
        <f t="shared" ref="K143:K145" si="111">E143*B143+G143*C143+I143</f>
        <v>-1.0725875173047967</v>
      </c>
      <c r="L143" s="49">
        <f>L136</f>
        <v>0.25491132143958661</v>
      </c>
      <c r="M143" s="48">
        <f t="shared" ref="M143:M145" si="112">IF(L143&gt;0.5,1,0)</f>
        <v>0</v>
      </c>
      <c r="N143" s="54">
        <f t="shared" ref="N143:N145" si="113">N136</f>
        <v>0.18993153964151036</v>
      </c>
      <c r="O143" s="50">
        <f>O136</f>
        <v>0.12779203555033361</v>
      </c>
      <c r="P143" s="55">
        <f t="shared" ref="P143:P145" si="114">P136</f>
        <v>0.25491132143958661</v>
      </c>
      <c r="Q143" s="58">
        <f>P143*N143</f>
        <v>4.8415699753072632E-2</v>
      </c>
    </row>
    <row r="144" spans="1:17">
      <c r="A144" s="41">
        <f t="shared" ref="A144:E144" si="115">A137</f>
        <v>5</v>
      </c>
      <c r="B144" s="47">
        <f t="shared" si="115"/>
        <v>0.5</v>
      </c>
      <c r="C144" s="47">
        <f t="shared" si="115"/>
        <v>0.8</v>
      </c>
      <c r="D144" s="48">
        <f t="shared" si="115"/>
        <v>1</v>
      </c>
      <c r="E144" s="49">
        <f t="shared" si="115"/>
        <v>0.74504948697305551</v>
      </c>
      <c r="F144" s="57">
        <f>Q144*B144</f>
        <v>-5.8864003939353628E-2</v>
      </c>
      <c r="G144" s="49">
        <f>G137</f>
        <v>1.6903953054098941</v>
      </c>
      <c r="H144" s="57">
        <f>Q144*C144</f>
        <v>-9.4182406302965815E-2</v>
      </c>
      <c r="I144" s="49">
        <f>I137</f>
        <v>-1.614151791332314</v>
      </c>
      <c r="J144" s="57">
        <f t="shared" si="110"/>
        <v>-0.11772800787870726</v>
      </c>
      <c r="K144" s="49">
        <f t="shared" si="111"/>
        <v>0.11068919648212905</v>
      </c>
      <c r="L144" s="49">
        <f>L137</f>
        <v>0.52764408005041497</v>
      </c>
      <c r="M144" s="48">
        <f t="shared" si="112"/>
        <v>1</v>
      </c>
      <c r="N144" s="54">
        <f t="shared" si="113"/>
        <v>0.24923580483816624</v>
      </c>
      <c r="O144" s="50">
        <f>O137</f>
        <v>0.27765893010256837</v>
      </c>
      <c r="P144" s="55">
        <f t="shared" si="114"/>
        <v>-0.47235591994958503</v>
      </c>
      <c r="Q144" s="58">
        <f>P144*N144</f>
        <v>-0.11772800787870726</v>
      </c>
    </row>
    <row r="145" spans="1:17">
      <c r="A145" s="41">
        <f t="shared" ref="A145:E145" si="116">A138</f>
        <v>5</v>
      </c>
      <c r="B145" s="47">
        <f t="shared" si="116"/>
        <v>1</v>
      </c>
      <c r="C145" s="47">
        <f t="shared" si="116"/>
        <v>0.9</v>
      </c>
      <c r="D145" s="48">
        <f t="shared" si="116"/>
        <v>1</v>
      </c>
      <c r="E145" s="49">
        <f t="shared" si="116"/>
        <v>0.74504948697305551</v>
      </c>
      <c r="F145" s="57">
        <f>Q145*B145</f>
        <v>-7.7122831502193359E-2</v>
      </c>
      <c r="G145" s="49">
        <f>G138</f>
        <v>1.6903953054098941</v>
      </c>
      <c r="H145" s="57">
        <f>Q145*C145</f>
        <v>-6.9410548351974022E-2</v>
      </c>
      <c r="I145" s="49">
        <f>I138</f>
        <v>-1.614151791332314</v>
      </c>
      <c r="J145" s="57">
        <f t="shared" si="110"/>
        <v>-7.7122831502193359E-2</v>
      </c>
      <c r="K145" s="49">
        <f t="shared" si="111"/>
        <v>0.65225347050964633</v>
      </c>
      <c r="L145" s="49">
        <f>L138</f>
        <v>0.65751809727748411</v>
      </c>
      <c r="M145" s="48">
        <f t="shared" si="112"/>
        <v>1</v>
      </c>
      <c r="N145" s="54">
        <f t="shared" si="113"/>
        <v>0.22518804903008105</v>
      </c>
      <c r="O145" s="50">
        <f>O138</f>
        <v>0.18209228931792129</v>
      </c>
      <c r="P145" s="55">
        <f t="shared" si="114"/>
        <v>-0.34248190272251589</v>
      </c>
      <c r="Q145" s="58">
        <f>P145*N145</f>
        <v>-7.7122831502193359E-2</v>
      </c>
    </row>
    <row r="146" spans="1:17">
      <c r="B146" s="42"/>
      <c r="C146" s="42"/>
      <c r="E146" s="44"/>
      <c r="F146" s="44"/>
      <c r="G146" s="44"/>
      <c r="H146" s="44"/>
      <c r="I146" s="44"/>
      <c r="J146" s="44"/>
      <c r="M146" s="45"/>
    </row>
    <row r="147" spans="1:17">
      <c r="A147" s="39" t="s">
        <v>14</v>
      </c>
      <c r="B147" s="42"/>
      <c r="C147" s="42"/>
      <c r="E147" s="44"/>
      <c r="F147" s="44"/>
      <c r="G147" s="44"/>
      <c r="H147" s="44"/>
      <c r="I147" s="44"/>
      <c r="J147" s="44"/>
      <c r="M147" s="45"/>
    </row>
    <row r="148" spans="1:17">
      <c r="B148" s="42"/>
      <c r="C148" s="42"/>
      <c r="E148" s="44"/>
      <c r="F148" s="44"/>
      <c r="G148" s="44"/>
      <c r="H148" s="44"/>
      <c r="I148" s="44"/>
      <c r="J148" s="44"/>
      <c r="M148" s="45"/>
    </row>
    <row r="149" spans="1:17">
      <c r="B149" s="2"/>
      <c r="C149" s="42"/>
      <c r="E149" s="1" t="s">
        <v>5</v>
      </c>
      <c r="F149" s="44"/>
      <c r="G149" s="1" t="s">
        <v>6</v>
      </c>
      <c r="H149" s="44"/>
      <c r="I149" s="1" t="s">
        <v>7</v>
      </c>
      <c r="J149" s="44"/>
      <c r="M149" s="45"/>
    </row>
    <row r="150" spans="1:17">
      <c r="B150" s="42"/>
      <c r="C150" s="42"/>
      <c r="E150" s="44">
        <f>E142-$B$1*AVERAGE(F142:F145)</f>
        <v>1.258717393152285</v>
      </c>
      <c r="F150" s="44"/>
      <c r="G150" s="44">
        <f>G142-$B$1*AVERAGE(H142:H145)</f>
        <v>2.4389252071622334</v>
      </c>
      <c r="H150" s="44"/>
      <c r="I150" s="44">
        <f>I142-$B$1*AVERAGE(J142:J145)</f>
        <v>-1.1081112014222934</v>
      </c>
      <c r="J150" s="44"/>
      <c r="M150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sigmoide MSE</vt:lpstr>
      <vt:lpstr>sigmoide Cross-entropy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Francisco Javier García Algarra</cp:lastModifiedBy>
  <cp:lastPrinted>2026-08-18T21:09:56Z</cp:lastPrinted>
  <dcterms:created xsi:type="dcterms:W3CDTF">2021-03-10T14:48:27Z</dcterms:created>
  <dcterms:modified xsi:type="dcterms:W3CDTF">2026-08-19T07:30:54Z</dcterms:modified>
</cp:coreProperties>
</file>